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 &amp; Portfolio" sheetId="1" state="visible" r:id="rId1"/>
    <sheet name="Utility Charges Ledger" sheetId="2" state="visible" r:id="rId2"/>
    <sheet name="Utility Yearly Breakdown" sheetId="3" state="visible" r:id="rId3"/>
    <sheet name="Historical Flat Ledger (22-25)" sheetId="4" state="visible" r:id="rId4"/>
    <sheet name="Receipt Vault &amp; Image Ind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PKR &quot;#,##0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FFFFFF"/>
      <sz val="9.5"/>
    </font>
    <font>
      <name val="Segoe UI"/>
      <b val="1"/>
      <color rgb="001F4E79"/>
      <sz val="10"/>
    </font>
    <font>
      <name val="Segoe UI"/>
      <b val="1"/>
      <color rgb="00000000"/>
      <sz val="9.5"/>
    </font>
    <font>
      <name val="Segoe UI"/>
      <color rgb="00000000"/>
      <sz val="9.5"/>
    </font>
    <font>
      <name val="Segoe UI"/>
      <i val="1"/>
      <color rgb="00595959"/>
      <sz val="9"/>
    </font>
    <font>
      <name val="Segoe UI"/>
      <b val="1"/>
      <color rgb="001F4E79"/>
      <sz val="12"/>
    </font>
    <font>
      <name val="Segoe UI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2F5F8"/>
        <bgColor rgb="00F2F5F8"/>
      </patternFill>
    </fill>
    <fill>
      <patternFill patternType="solid">
        <fgColor rgb="00F2F5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pivotButton="0" quotePrefix="0" xfId="0"/>
    <xf numFmtId="0" fontId="5" fillId="5" borderId="1" pivotButton="0" quotePrefix="0" xfId="0"/>
    <xf numFmtId="0" fontId="0" fillId="0" borderId="1" pivotButton="0" quotePrefix="0" xfId="0"/>
    <xf numFmtId="164" fontId="4" fillId="6" borderId="1" applyAlignment="1" pivotButton="0" quotePrefix="0" xfId="0">
      <alignment horizontal="right" vertical="center"/>
    </xf>
    <xf numFmtId="0" fontId="6" fillId="5" borderId="1" pivotButton="0" quotePrefix="0" xfId="0"/>
    <xf numFmtId="164" fontId="7" fillId="6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164" fontId="5" fillId="5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164" fontId="4" fillId="4" borderId="2" pivotButton="0" quotePrefix="0" xfId="0"/>
    <xf numFmtId="0" fontId="4" fillId="4" borderId="2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/>
    </xf>
    <xf numFmtId="164" fontId="5" fillId="10" borderId="1" pivotButton="0" quotePrefix="0" xfId="0"/>
    <xf numFmtId="49" fontId="4" fillId="6" borderId="1" applyAlignment="1" pivotButton="0" quotePrefix="0" xfId="0">
      <alignment horizontal="left" vertical="center"/>
    </xf>
    <xf numFmtId="10" fontId="4" fillId="6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164" fontId="4" fillId="11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164" fontId="4" fillId="12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 wrapText="1"/>
    </xf>
    <xf numFmtId="0" fontId="3" fillId="4" borderId="2" pivotButton="0" quotePrefix="0" xfId="0"/>
    <xf numFmtId="164" fontId="3" fillId="4" borderId="2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1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AL GHAFOOR TOWER &amp; MALL - CONSOLIDATED PROPERTY &amp; PAYMENT RECORD</t>
        </is>
      </c>
    </row>
    <row r="2"/>
    <row r="3">
      <c r="A3" s="2" t="inlineStr">
        <is>
          <t>Complete Investment &amp; Payment Ledger | Unit 206 (File: ATM-14A-206-2) | Allottee: Muhammad Sikander</t>
        </is>
      </c>
    </row>
    <row r="5">
      <c r="A5" s="3" t="inlineStr">
        <is>
          <t>ALLOTMENT &amp; PROPERTY CREDENTIALS</t>
        </is>
      </c>
      <c r="G5" s="3" t="inlineStr">
        <is>
          <t>GRAND TOTAL INVESTMENT CONSOLIDATION</t>
        </is>
      </c>
    </row>
    <row r="6">
      <c r="A6" s="4" t="inlineStr">
        <is>
          <t>Project Name</t>
        </is>
      </c>
      <c r="B6" s="5" t="inlineStr">
        <is>
          <t>Al Ghafoor Tower &amp; Mall (Surjani Town Sector 12, Karachi)</t>
        </is>
      </c>
      <c r="C6" s="6" t="n"/>
      <c r="D6" s="6" t="n"/>
      <c r="E6" s="6" t="n"/>
      <c r="G6" s="4" t="inlineStr">
        <is>
          <t>Total Property Cost (2022-2025)</t>
        </is>
      </c>
      <c r="H6" s="7" t="n">
        <v>2174000</v>
      </c>
      <c r="I6" s="8" t="inlineStr">
        <is>
          <t>Schedule (1.449M) + Loan (0.725M)</t>
        </is>
      </c>
      <c r="J6" s="6" t="n"/>
      <c r="K6" s="6" t="n"/>
    </row>
    <row r="7">
      <c r="A7" s="4" t="inlineStr">
        <is>
          <t>Allottee Name</t>
        </is>
      </c>
      <c r="B7" s="5" t="inlineStr">
        <is>
          <t>Muhammad Sikander S/O M. Shah Jahan</t>
        </is>
      </c>
      <c r="C7" s="6" t="n"/>
      <c r="D7" s="6" t="n"/>
      <c r="E7" s="6" t="n"/>
      <c r="G7" s="4" t="inlineStr">
        <is>
          <t>Net Utility Charges (2025-2028)</t>
        </is>
      </c>
      <c r="H7" s="7">
        <f>'Utility Charges Ledger'!H8</f>
        <v/>
      </c>
      <c r="I7" s="8" t="inlineStr">
        <is>
          <t>Net after Rs. 250,000 discount</t>
        </is>
      </c>
      <c r="J7" s="6" t="n"/>
      <c r="K7" s="6" t="n"/>
    </row>
    <row r="8">
      <c r="A8" s="4" t="inlineStr">
        <is>
          <t>CNIC Number</t>
        </is>
      </c>
      <c r="B8" s="5" t="inlineStr">
        <is>
          <t>42201-5534206-1</t>
        </is>
      </c>
      <c r="C8" s="6" t="n"/>
      <c r="D8" s="6" t="n"/>
      <c r="E8" s="6" t="n"/>
      <c r="G8" s="4" t="inlineStr">
        <is>
          <t>Grand Total Capital Outlay</t>
        </is>
      </c>
      <c r="H8" s="9">
        <f>H6+H7</f>
        <v/>
      </c>
      <c r="I8" s="8" t="inlineStr">
        <is>
          <t>Total flat cost + utility infrastructure</t>
        </is>
      </c>
      <c r="J8" s="6" t="n"/>
      <c r="K8" s="6" t="n"/>
    </row>
    <row r="9">
      <c r="A9" s="4" t="inlineStr">
        <is>
          <t>Property Unit</t>
        </is>
      </c>
      <c r="B9" s="5" t="inlineStr">
        <is>
          <t>Unit 206 (Apartments / Residential)</t>
        </is>
      </c>
      <c r="C9" s="6" t="n"/>
      <c r="D9" s="6" t="n"/>
      <c r="E9" s="6" t="n"/>
      <c r="G9" s="4" t="inlineStr">
        <is>
          <t>Historical Flat Payments Paid</t>
        </is>
      </c>
      <c r="H9" s="7">
        <f>'Historical Flat Ledger (22-25)'!F105</f>
        <v/>
      </c>
      <c r="I9" s="8" t="inlineStr">
        <is>
          <t>Total paid across 100 transactions</t>
        </is>
      </c>
      <c r="J9" s="6" t="n"/>
      <c r="K9" s="6" t="n"/>
    </row>
    <row r="10">
      <c r="A10" s="4" t="inlineStr">
        <is>
          <t>File Number</t>
        </is>
      </c>
      <c r="B10" s="5" t="inlineStr">
        <is>
          <t>ATM-14A-206-2 (Undertaking Ref: ATM-14A-206-1)</t>
        </is>
      </c>
      <c r="C10" s="6" t="n"/>
      <c r="D10" s="6" t="n"/>
      <c r="E10" s="6" t="n"/>
      <c r="G10" s="4" t="inlineStr">
        <is>
          <t>Utility Charges Paid to Date</t>
        </is>
      </c>
      <c r="H10" s="7">
        <f>'Utility Charges Ledger'!H9</f>
        <v/>
      </c>
      <c r="I10" s="8" t="inlineStr">
        <is>
          <t>Paid across 9 monthly installments</t>
        </is>
      </c>
      <c r="J10" s="6" t="n"/>
      <c r="K10" s="6" t="n"/>
    </row>
    <row r="11">
      <c r="A11" s="4" t="inlineStr">
        <is>
          <t>Original Booking Date</t>
        </is>
      </c>
      <c r="B11" s="5" t="inlineStr">
        <is>
          <t>27-Apr-2022 (Receipt No. 1730)</t>
        </is>
      </c>
      <c r="C11" s="6" t="n"/>
      <c r="D11" s="6" t="n"/>
      <c r="E11" s="6" t="n"/>
      <c r="G11" s="4" t="inlineStr">
        <is>
          <t>Grand Total Paid Across All Dues</t>
        </is>
      </c>
      <c r="H11" s="10">
        <f>H9+H10</f>
        <v/>
      </c>
      <c r="I11" s="8" t="inlineStr">
        <is>
          <t>Total cumulative money paid to Al Ghafoor</t>
        </is>
      </c>
      <c r="J11" s="6" t="n"/>
      <c r="K11" s="6" t="n"/>
    </row>
    <row r="12">
      <c r="A12" s="4" t="inlineStr">
        <is>
          <t>Utility Undertaking Date</t>
        </is>
      </c>
      <c r="B12" s="5" t="inlineStr">
        <is>
          <t>26-Nov-2025 (Discount &amp; Installment Undertaking)</t>
        </is>
      </c>
      <c r="C12" s="6" t="n"/>
      <c r="D12" s="6" t="n"/>
      <c r="E12" s="6" t="n"/>
      <c r="G12" s="4" t="inlineStr">
        <is>
          <t>Grand Total Remaining Balance</t>
        </is>
      </c>
      <c r="H12" s="11">
        <f>H8-H11</f>
        <v/>
      </c>
      <c r="I12" s="8" t="inlineStr">
        <is>
          <t>Total remaining liability to complete property</t>
        </is>
      </c>
      <c r="J12" s="6" t="n"/>
      <c r="K12" s="6" t="n"/>
    </row>
    <row r="14">
      <c r="A14" s="3" t="inlineStr">
        <is>
          <t>SECTION 1: FLAT PURCHASE &amp; CONSTRUCTION INSTALLMENTS (2022 - 2025)</t>
        </is>
      </c>
    </row>
    <row r="15">
      <c r="A15" s="12" t="inlineStr">
        <is>
          <t>Category / Component</t>
        </is>
      </c>
      <c r="B15" s="12" t="inlineStr">
        <is>
          <t>Scheduled Total</t>
        </is>
      </c>
      <c r="C15" s="12" t="inlineStr">
        <is>
          <t>Total Received</t>
        </is>
      </c>
      <c r="D15" s="12" t="inlineStr">
        <is>
          <t>Balance Dues</t>
        </is>
      </c>
      <c r="E15" s="12" t="inlineStr">
        <is>
          <t>Total Transactions</t>
        </is>
      </c>
      <c r="F15" s="12" t="inlineStr">
        <is>
          <t>Status &amp; Notes</t>
        </is>
      </c>
    </row>
    <row r="16">
      <c r="A16" s="13" t="inlineStr">
        <is>
          <t>Schedule Amount (Booking, Installments, Casting)</t>
        </is>
      </c>
      <c r="B16" s="14" t="n">
        <v>1449000</v>
      </c>
      <c r="C16" s="14" t="n">
        <v>1449000</v>
      </c>
      <c r="D16" s="14" t="n">
        <v>0</v>
      </c>
      <c r="E16" s="15" t="inlineStr">
        <is>
          <t>64 Receipts</t>
        </is>
      </c>
      <c r="F16" s="13" t="inlineStr">
        <is>
          <t>100% Fully Settled</t>
        </is>
      </c>
    </row>
    <row r="17">
      <c r="A17" s="13" t="inlineStr">
        <is>
          <t>Bank / Builder Loan Installment Facility</t>
        </is>
      </c>
      <c r="B17" s="14" t="n">
        <v>725000</v>
      </c>
      <c r="C17" s="14" t="n">
        <v>509000</v>
      </c>
      <c r="D17" s="14" t="n">
        <v>216000</v>
      </c>
      <c r="E17" s="15" t="inlineStr">
        <is>
          <t>36 Receipts</t>
        </is>
      </c>
      <c r="F17" s="13" t="inlineStr">
        <is>
          <t>Installments 1 to 24 (Partially balance)</t>
        </is>
      </c>
    </row>
    <row r="18">
      <c r="A18" s="13" t="inlineStr">
        <is>
          <t>Extra Charges / Discounts</t>
        </is>
      </c>
      <c r="B18" s="14" t="n">
        <v>0</v>
      </c>
      <c r="C18" s="14" t="n">
        <v>0</v>
      </c>
      <c r="D18" s="14" t="n">
        <v>0</v>
      </c>
      <c r="E18" s="15" t="inlineStr">
        <is>
          <t>-</t>
        </is>
      </c>
      <c r="F18" s="13" t="inlineStr">
        <is>
          <t>No extra charges billed on primary ledger</t>
        </is>
      </c>
    </row>
    <row r="19">
      <c r="A19" s="16" t="inlineStr">
        <is>
          <t>TOTAL PROPERTY COST (FLAT)</t>
        </is>
      </c>
      <c r="B19" s="17">
        <f>SUM(B16:B18)</f>
        <v/>
      </c>
      <c r="C19" s="17">
        <f>SUM(C16:C18)</f>
        <v/>
      </c>
      <c r="D19" s="17">
        <f>SUM(D16:D18)</f>
        <v/>
      </c>
      <c r="E19" s="18" t="inlineStr">
        <is>
          <t>100 Receipts</t>
        </is>
      </c>
      <c r="F19" s="16" t="inlineStr">
        <is>
          <t>Official Ledger Closed as of 15-Sep-2025</t>
        </is>
      </c>
    </row>
    <row r="21">
      <c r="A21" s="3" t="inlineStr">
        <is>
          <t>SECTION 2: UTILITY INSTALLATION CHARGES &amp; SETTLEMENT (2025 - 2028)</t>
        </is>
      </c>
    </row>
    <row r="22">
      <c r="A22" s="19" t="inlineStr">
        <is>
          <t>Payment Phase</t>
        </is>
      </c>
      <c r="B22" s="19" t="inlineStr">
        <is>
          <t>Monthly Rate</t>
        </is>
      </c>
      <c r="C22" s="19" t="inlineStr">
        <is>
          <t>Total Scheduled</t>
        </is>
      </c>
      <c r="D22" s="19" t="inlineStr">
        <is>
          <t>Paid to Date</t>
        </is>
      </c>
      <c r="E22" s="19" t="inlineStr">
        <is>
          <t>Remaining Balance</t>
        </is>
      </c>
      <c r="F22" s="19" t="inlineStr">
        <is>
          <t>Phase Progress</t>
        </is>
      </c>
    </row>
    <row r="23">
      <c r="A23" s="20" t="inlineStr">
        <is>
          <t>Year 1 (Months 01 - 12: Dec 25 - Nov 26)</t>
        </is>
      </c>
      <c r="B23" s="21" t="n">
        <v>15000</v>
      </c>
      <c r="C23" s="21" t="n">
        <v>180000</v>
      </c>
      <c r="D23" s="21">
        <f>'Utility Yearly Breakdown'!E5</f>
        <v/>
      </c>
      <c r="E23" s="21">
        <f>'Utility Yearly Breakdown'!F5</f>
        <v/>
      </c>
      <c r="F23" s="20" t="inlineStr">
        <is>
          <t>9 / 12 Paid (Active)</t>
        </is>
      </c>
    </row>
    <row r="24">
      <c r="A24" s="13" t="inlineStr">
        <is>
          <t>Year 2 (Months 13 - 24: Dec 26 - Nov 27)</t>
        </is>
      </c>
      <c r="B24" s="14" t="n">
        <v>20000</v>
      </c>
      <c r="C24" s="14" t="n">
        <v>240000</v>
      </c>
      <c r="D24" s="14">
        <f>'Utility Yearly Breakdown'!E6</f>
        <v/>
      </c>
      <c r="E24" s="14">
        <f>'Utility Yearly Breakdown'!F6</f>
        <v/>
      </c>
      <c r="F24" s="13" t="inlineStr">
        <is>
          <t>0 / 12 Paid (Upcoming)</t>
        </is>
      </c>
    </row>
    <row r="25">
      <c r="A25" s="13" t="inlineStr">
        <is>
          <t>Year 3 (Months 25 - 36: Dec 27 - Nov 28)</t>
        </is>
      </c>
      <c r="B25" s="14" t="n">
        <v>25000</v>
      </c>
      <c r="C25" s="14" t="n">
        <v>300000</v>
      </c>
      <c r="D25" s="14">
        <f>'Utility Yearly Breakdown'!E7</f>
        <v/>
      </c>
      <c r="E25" s="14">
        <f>'Utility Yearly Breakdown'!F7</f>
        <v/>
      </c>
      <c r="F25" s="13" t="inlineStr">
        <is>
          <t>0 / 12 Paid (Upcoming)</t>
        </is>
      </c>
    </row>
    <row r="26">
      <c r="A26" s="13" t="inlineStr">
        <is>
          <t>Month 37 Final Payment (Dec 2028)</t>
        </is>
      </c>
      <c r="B26" s="14" t="n">
        <v>230000</v>
      </c>
      <c r="C26" s="14" t="n">
        <v>230000</v>
      </c>
      <c r="D26" s="14">
        <f>'Utility Yearly Breakdown'!E8</f>
        <v/>
      </c>
      <c r="E26" s="14">
        <f>'Utility Yearly Breakdown'!F8</f>
        <v/>
      </c>
      <c r="F26" s="13" t="inlineStr">
        <is>
          <t>0 / 1 Paid (Upcoming)</t>
        </is>
      </c>
    </row>
    <row r="27">
      <c r="A27" s="16" t="inlineStr">
        <is>
          <t>TOTAL UTILITY CHARGES (NET)</t>
        </is>
      </c>
      <c r="B27" s="18" t="inlineStr">
        <is>
          <t>-</t>
        </is>
      </c>
      <c r="C27" s="17">
        <f>SUM(C23:C26)</f>
        <v/>
      </c>
      <c r="D27" s="17">
        <f>SUM(D23:D26)</f>
        <v/>
      </c>
      <c r="E27" s="17">
        <f>SUM(E23:E26)</f>
        <v/>
      </c>
      <c r="F27" s="16">
        <f>TEXT(D27/C27, "0.00%") &amp; " Completed"</f>
        <v/>
      </c>
    </row>
  </sheetData>
  <mergeCells count="20">
    <mergeCell ref="B9:E9"/>
    <mergeCell ref="B6:E6"/>
    <mergeCell ref="I12:K12"/>
    <mergeCell ref="I8:K8"/>
    <mergeCell ref="B7:E7"/>
    <mergeCell ref="I10:K10"/>
    <mergeCell ref="A3:K3"/>
    <mergeCell ref="A21:K21"/>
    <mergeCell ref="B12:E12"/>
    <mergeCell ref="I9:K9"/>
    <mergeCell ref="A5:E5"/>
    <mergeCell ref="B11:E11"/>
    <mergeCell ref="G5:K5"/>
    <mergeCell ref="A14:K14"/>
    <mergeCell ref="A1:K2"/>
    <mergeCell ref="I6:K6"/>
    <mergeCell ref="I11:K11"/>
    <mergeCell ref="B8:E8"/>
    <mergeCell ref="B10:E10"/>
    <mergeCell ref="I7:K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"/>
  <sheetViews>
    <sheetView showGridLines="1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2" customWidth="1" min="4" max="4"/>
    <col width="20" customWidth="1" min="5" max="5"/>
    <col width="20" customWidth="1" min="6" max="6"/>
    <col width="20" customWidth="1" min="7" max="7"/>
    <col width="28" customWidth="1" min="8" max="8"/>
    <col width="18" customWidth="1" min="9" max="9"/>
    <col width="18" customWidth="1" min="10" max="10"/>
    <col width="24" customWidth="1" min="11" max="11"/>
    <col width="22" customWidth="1" min="12" max="12"/>
    <col width="24" customWidth="1" min="13" max="13"/>
    <col width="22" customWidth="1" min="14" max="14"/>
    <col width="42" customWidth="1" min="15" max="15"/>
    <col width="38" customWidth="1" min="16" max="16"/>
  </cols>
  <sheetData>
    <row r="1">
      <c r="A1" s="1" t="inlineStr">
        <is>
          <t>AL GHAFOOR TOWER &amp; MALL - UTILITY INSTALLATION CHARGES</t>
        </is>
      </c>
    </row>
    <row r="2"/>
    <row r="3">
      <c r="A3" s="2" t="inlineStr">
        <is>
          <t>Utility Charges Payment Tracker (2025 - 2028) | Unit 206 (File: ATM-14A-206-2) | Allottee: Muhammad Sikander</t>
        </is>
      </c>
    </row>
    <row r="5">
      <c r="B5" s="3" t="inlineStr">
        <is>
          <t>PROPERTY &amp; ALLOTMENT DETAILS</t>
        </is>
      </c>
      <c r="G5" s="3" t="inlineStr">
        <is>
          <t>FINANCIAL SUMMARY &amp; PAYMENT PROGRESS</t>
        </is>
      </c>
    </row>
    <row r="6">
      <c r="B6" s="4" t="inlineStr">
        <is>
          <t>Project Name</t>
        </is>
      </c>
      <c r="C6" s="5" t="inlineStr">
        <is>
          <t>Al Ghafoor Tower &amp; Mall (Surjani Town Sector 12, Karachi)</t>
        </is>
      </c>
      <c r="D6" s="6" t="n"/>
      <c r="E6" s="6" t="n"/>
      <c r="G6" s="4" t="inlineStr">
        <is>
          <t>Gross Demand Amount</t>
        </is>
      </c>
      <c r="H6" s="7" t="n">
        <v>1200000</v>
      </c>
      <c r="I6" s="8" t="inlineStr">
        <is>
          <t>Original demand before discount</t>
        </is>
      </c>
      <c r="J6" s="6" t="n"/>
      <c r="K6" s="6" t="n"/>
    </row>
    <row r="7">
      <c r="B7" s="4" t="inlineStr">
        <is>
          <t>Allottee Name</t>
        </is>
      </c>
      <c r="C7" s="5" t="inlineStr">
        <is>
          <t>Muhammad Sikander S/O M. Shah Jahan</t>
        </is>
      </c>
      <c r="D7" s="6" t="n"/>
      <c r="E7" s="6" t="n"/>
      <c r="G7" s="4" t="inlineStr">
        <is>
          <t>Special Discount Received</t>
        </is>
      </c>
      <c r="H7" s="7" t="n">
        <v>250000</v>
      </c>
      <c r="I7" s="8" t="inlineStr">
        <is>
          <t>Discount approved per undertaking</t>
        </is>
      </c>
      <c r="J7" s="6" t="n"/>
      <c r="K7" s="6" t="n"/>
    </row>
    <row r="8">
      <c r="B8" s="4" t="inlineStr">
        <is>
          <t>CNIC Number</t>
        </is>
      </c>
      <c r="C8" s="5" t="inlineStr">
        <is>
          <t>42201-5534206-1</t>
        </is>
      </c>
      <c r="D8" s="6" t="n"/>
      <c r="E8" s="6" t="n"/>
      <c r="G8" s="4" t="inlineStr">
        <is>
          <t>Net Total Payable</t>
        </is>
      </c>
      <c r="H8" s="9">
        <f>H6-H7</f>
        <v/>
      </c>
      <c r="I8" s="8" t="inlineStr">
        <is>
          <t>Final net liability across 37 months</t>
        </is>
      </c>
      <c r="J8" s="6" t="n"/>
      <c r="K8" s="6" t="n"/>
    </row>
    <row r="9">
      <c r="B9" s="4" t="inlineStr">
        <is>
          <t>Property Unit</t>
        </is>
      </c>
      <c r="C9" s="5" t="inlineStr">
        <is>
          <t>Unit 206 (Apartments / Residential)</t>
        </is>
      </c>
      <c r="D9" s="6" t="n"/>
      <c r="E9" s="6" t="n"/>
      <c r="G9" s="4" t="inlineStr">
        <is>
          <t>Total Amount Paid to Date</t>
        </is>
      </c>
      <c r="H9" s="10">
        <f>SUM(F15:F51)</f>
        <v/>
      </c>
      <c r="I9" s="8" t="inlineStr">
        <is>
          <t>Dynamic sum of all actual payments</t>
        </is>
      </c>
      <c r="J9" s="6" t="n"/>
      <c r="K9" s="6" t="n"/>
    </row>
    <row r="10">
      <c r="B10" s="4" t="inlineStr">
        <is>
          <t>File Number</t>
        </is>
      </c>
      <c r="C10" s="5" t="inlineStr">
        <is>
          <t>ATM-14A-206-2 (Undertaking Ref: ATM-14A-206-1)</t>
        </is>
      </c>
      <c r="D10" s="6" t="n"/>
      <c r="E10" s="6" t="n"/>
      <c r="G10" s="4" t="inlineStr">
        <is>
          <t>Remaining Balance</t>
        </is>
      </c>
      <c r="H10" s="11">
        <f>H8-H9</f>
        <v/>
      </c>
      <c r="I10" s="8" t="inlineStr">
        <is>
          <t>Net amount remaining to be cleared</t>
        </is>
      </c>
      <c r="J10" s="6" t="n"/>
      <c r="K10" s="6" t="n"/>
    </row>
    <row r="11">
      <c r="B11" s="4" t="inlineStr">
        <is>
          <t>Original Booking Date</t>
        </is>
      </c>
      <c r="C11" s="5" t="inlineStr">
        <is>
          <t>27-Apr-2022 (Receipt No. 1730)</t>
        </is>
      </c>
      <c r="D11" s="6" t="n"/>
      <c r="E11" s="6" t="n"/>
      <c r="G11" s="4" t="inlineStr">
        <is>
          <t>Installments Paid / Total</t>
        </is>
      </c>
      <c r="H11" s="22">
        <f>TEXT(COUNT(F15:F51),"0") &amp; " / 37 Paid (" &amp; TEXT(COUNTIF(N15:N51,"Pending*"),"0") &amp; " Remaining)"</f>
        <v/>
      </c>
      <c r="I11" s="8" t="inlineStr">
        <is>
          <t>Installment count progress</t>
        </is>
      </c>
      <c r="J11" s="6" t="n"/>
      <c r="K11" s="6" t="n"/>
    </row>
    <row r="12">
      <c r="B12" s="4" t="inlineStr">
        <is>
          <t>Utility Undertaking Date</t>
        </is>
      </c>
      <c r="C12" s="5" t="inlineStr">
        <is>
          <t>26-Nov-2025 (Discount &amp; Installment Undertaking)</t>
        </is>
      </c>
      <c r="D12" s="6" t="n"/>
      <c r="E12" s="6" t="n"/>
      <c r="G12" s="4" t="inlineStr">
        <is>
          <t>Overall Payment Progress</t>
        </is>
      </c>
      <c r="H12" s="23">
        <f>H9/H8</f>
        <v/>
      </c>
      <c r="I12" s="8" t="inlineStr">
        <is>
          <t>Percentage of net dues settled</t>
        </is>
      </c>
      <c r="J12" s="6" t="n"/>
      <c r="K12" s="6" t="n"/>
    </row>
    <row r="14">
      <c r="A14" s="19" t="inlineStr">
        <is>
          <t>Inst #</t>
        </is>
      </c>
      <c r="B14" s="19" t="inlineStr">
        <is>
          <t>Period / Year</t>
        </is>
      </c>
      <c r="C14" s="19" t="inlineStr">
        <is>
          <t>Scheduled Month</t>
        </is>
      </c>
      <c r="D14" s="19" t="inlineStr">
        <is>
          <t>Scheduled Dues (PKR)</t>
        </is>
      </c>
      <c r="E14" s="19" t="inlineStr">
        <is>
          <t>Actual Payment Date</t>
        </is>
      </c>
      <c r="F14" s="19" t="inlineStr">
        <is>
          <t>Actual Paid (PKR)</t>
        </is>
      </c>
      <c r="G14" s="19" t="inlineStr">
        <is>
          <t>Payment Channel</t>
        </is>
      </c>
      <c r="H14" s="19" t="inlineStr">
        <is>
          <t>Bank / Raast Tx Ref #</t>
        </is>
      </c>
      <c r="I14" s="19" t="inlineStr">
        <is>
          <t>Official Receipt #</t>
        </is>
      </c>
      <c r="J14" s="19" t="inlineStr">
        <is>
          <t>Receipt Issue Date</t>
        </is>
      </c>
      <c r="K14" s="19" t="inlineStr">
        <is>
          <t>Official Invoice ID(s)</t>
        </is>
      </c>
      <c r="L14" s="19" t="inlineStr">
        <is>
          <t>Cumulative Paid (PKR)</t>
        </is>
      </c>
      <c r="M14" s="19" t="inlineStr">
        <is>
          <t>Remaining Balance (PKR)</t>
        </is>
      </c>
      <c r="N14" s="19" t="inlineStr">
        <is>
          <t>Status</t>
        </is>
      </c>
      <c r="O14" s="19" t="inlineStr">
        <is>
          <t>Linked Proof / File Name</t>
        </is>
      </c>
      <c r="P14" s="19" t="inlineStr">
        <is>
          <t>Notes &amp; Invoice Breakdown</t>
        </is>
      </c>
    </row>
    <row r="15">
      <c r="A15" s="24" t="inlineStr">
        <is>
          <t>Month 01</t>
        </is>
      </c>
      <c r="B15" s="25" t="inlineStr">
        <is>
          <t>Year 1 (M01-M12)</t>
        </is>
      </c>
      <c r="C15" s="25" t="inlineStr">
        <is>
          <t>Dec 2025</t>
        </is>
      </c>
      <c r="D15" s="26" t="n">
        <v>15000</v>
      </c>
      <c r="E15" s="25" t="inlineStr">
        <is>
          <t>2025-12-24</t>
        </is>
      </c>
      <c r="F15" s="26" t="n">
        <v>15000</v>
      </c>
      <c r="G15" s="20" t="inlineStr">
        <is>
          <t>Raast (Habib Metro)</t>
        </is>
      </c>
      <c r="H15" s="20" t="inlineStr">
        <is>
          <t>MPBL241225144252711403</t>
        </is>
      </c>
      <c r="I15" s="25" t="inlineStr">
        <is>
          <t>181DC</t>
        </is>
      </c>
      <c r="J15" s="25" t="inlineStr">
        <is>
          <t>2026-01-10</t>
        </is>
      </c>
      <c r="K15" s="20" t="inlineStr">
        <is>
          <t>9519</t>
        </is>
      </c>
      <c r="L15" s="26">
        <f>IF(ISNUMBER(F15), SUM(F$15:F15), "")</f>
        <v/>
      </c>
      <c r="M15" s="26">
        <f>IF(ISNUMBER(F15), $H$8-L15, "")</f>
        <v/>
      </c>
      <c r="N15" s="24">
        <f>IF(ISBLANK(F15), "Pending", IF(OR(I15="Pending", I15=""), "Paid (Receipt Pending)", "Paid &amp; Verified"))</f>
        <v/>
      </c>
      <c r="O15" s="20" t="inlineStr">
        <is>
          <t>2025-12-24_Official_Receipt_181DC_Month_01_PKR_15000.jpeg</t>
        </is>
      </c>
      <c r="P15" s="20" t="inlineStr">
        <is>
          <t>DC Monthly Installment No. 1</t>
        </is>
      </c>
    </row>
    <row r="16">
      <c r="A16" s="24" t="inlineStr">
        <is>
          <t>Month 02</t>
        </is>
      </c>
      <c r="B16" s="25" t="inlineStr">
        <is>
          <t>Year 1 (M01-M12)</t>
        </is>
      </c>
      <c r="C16" s="25" t="inlineStr">
        <is>
          <t>Jan 2026</t>
        </is>
      </c>
      <c r="D16" s="26" t="n">
        <v>15000</v>
      </c>
      <c r="E16" s="25" t="inlineStr">
        <is>
          <t>2026-01-26</t>
        </is>
      </c>
      <c r="F16" s="26" t="n">
        <v>15000</v>
      </c>
      <c r="G16" s="20" t="inlineStr">
        <is>
          <t>Raast (Habib Metro)</t>
        </is>
      </c>
      <c r="H16" s="20" t="inlineStr">
        <is>
          <t>MPBL260126104328932403</t>
        </is>
      </c>
      <c r="I16" s="25" t="inlineStr">
        <is>
          <t>262DC</t>
        </is>
      </c>
      <c r="J16" s="25" t="inlineStr">
        <is>
          <t>2026-01-27</t>
        </is>
      </c>
      <c r="K16" s="20" t="inlineStr">
        <is>
          <t>9519 (5k) + 9550 (10k)</t>
        </is>
      </c>
      <c r="L16" s="26">
        <f>IF(ISNUMBER(F16), SUM(F$15:F16), "")</f>
        <v/>
      </c>
      <c r="M16" s="26">
        <f>IF(ISNUMBER(F16), $H$8-L16, "")</f>
        <v/>
      </c>
      <c r="N16" s="24">
        <f>IF(ISBLANK(F16), "Pending", IF(OR(I16="Pending", I16=""), "Paid (Receipt Pending)", "Paid &amp; Verified"))</f>
        <v/>
      </c>
      <c r="O16" s="20" t="inlineStr">
        <is>
          <t>2026-01-26_Official_Receipt_262DC_Month_02_PKR_15000.jpeg</t>
        </is>
      </c>
      <c r="P16" s="20" t="inlineStr">
        <is>
          <t>Split: Inst 1 (5k) + Inst 2 (10k)</t>
        </is>
      </c>
    </row>
    <row r="17">
      <c r="A17" s="24" t="inlineStr">
        <is>
          <t>Month 03</t>
        </is>
      </c>
      <c r="B17" s="25" t="inlineStr">
        <is>
          <t>Year 1 (M01-M12)</t>
        </is>
      </c>
      <c r="C17" s="25" t="inlineStr">
        <is>
          <t>Feb 2026</t>
        </is>
      </c>
      <c r="D17" s="26" t="n">
        <v>15000</v>
      </c>
      <c r="E17" s="25" t="inlineStr">
        <is>
          <t>2026-02-28</t>
        </is>
      </c>
      <c r="F17" s="26" t="n">
        <v>15000</v>
      </c>
      <c r="G17" s="20" t="inlineStr">
        <is>
          <t>Raast (Habib Metro)</t>
        </is>
      </c>
      <c r="H17" s="20" t="inlineStr">
        <is>
          <t>MPBL280226100658681456</t>
        </is>
      </c>
      <c r="I17" s="25" t="inlineStr">
        <is>
          <t>465DC</t>
        </is>
      </c>
      <c r="J17" s="25" t="inlineStr">
        <is>
          <t>2026-03-03</t>
        </is>
      </c>
      <c r="K17" s="20" t="inlineStr">
        <is>
          <t>9550 (10k) + 10312 (5k)</t>
        </is>
      </c>
      <c r="L17" s="26">
        <f>IF(ISNUMBER(F17), SUM(F$15:F17), "")</f>
        <v/>
      </c>
      <c r="M17" s="26">
        <f>IF(ISNUMBER(F17), $H$8-L17, "")</f>
        <v/>
      </c>
      <c r="N17" s="24">
        <f>IF(ISBLANK(F17), "Pending", IF(OR(I17="Pending", I17=""), "Paid (Receipt Pending)", "Paid &amp; Verified"))</f>
        <v/>
      </c>
      <c r="O17" s="20" t="inlineStr">
        <is>
          <t>2026-02-28_Official_Receipt_465DC_Month_03_PKR_15000.jpeg</t>
        </is>
      </c>
      <c r="P17" s="20" t="inlineStr">
        <is>
          <t>Split: Inst 2 (10k) + Inst 3 (5k)</t>
        </is>
      </c>
    </row>
    <row r="18">
      <c r="A18" s="24" t="inlineStr">
        <is>
          <t>Month 04</t>
        </is>
      </c>
      <c r="B18" s="25" t="inlineStr">
        <is>
          <t>Year 1 (M01-M12)</t>
        </is>
      </c>
      <c r="C18" s="25" t="inlineStr">
        <is>
          <t>Mar 2026</t>
        </is>
      </c>
      <c r="D18" s="26" t="n">
        <v>15000</v>
      </c>
      <c r="E18" s="25" t="inlineStr">
        <is>
          <t>2026-03-24</t>
        </is>
      </c>
      <c r="F18" s="26" t="n">
        <v>15000</v>
      </c>
      <c r="G18" s="20" t="inlineStr">
        <is>
          <t>Raast (Habib Metro)</t>
        </is>
      </c>
      <c r="H18" s="20" t="inlineStr">
        <is>
          <t>MPBL240326215057922140</t>
        </is>
      </c>
      <c r="I18" s="25" t="inlineStr">
        <is>
          <t>575DC</t>
        </is>
      </c>
      <c r="J18" s="25" t="inlineStr">
        <is>
          <t>2026-03-28</t>
        </is>
      </c>
      <c r="K18" s="20" t="inlineStr">
        <is>
          <t>10312 (15k)</t>
        </is>
      </c>
      <c r="L18" s="26">
        <f>IF(ISNUMBER(F18), SUM(F$15:F18), "")</f>
        <v/>
      </c>
      <c r="M18" s="26">
        <f>IF(ISNUMBER(F18), $H$8-L18, "")</f>
        <v/>
      </c>
      <c r="N18" s="24">
        <f>IF(ISBLANK(F18), "Pending", IF(OR(I18="Pending", I18=""), "Paid (Receipt Pending)", "Paid &amp; Verified"))</f>
        <v/>
      </c>
      <c r="O18" s="20" t="inlineStr">
        <is>
          <t>2026-03-25_Official_Receipt_575DC_Month_04_PKR_15000.jpeg</t>
        </is>
      </c>
      <c r="P18" s="20" t="inlineStr">
        <is>
          <t>DC Monthly Installment No. 3 (Full 15k)</t>
        </is>
      </c>
    </row>
    <row r="19">
      <c r="A19" s="24" t="inlineStr">
        <is>
          <t>Month 05</t>
        </is>
      </c>
      <c r="B19" s="25" t="inlineStr">
        <is>
          <t>Year 1 (M01-M12)</t>
        </is>
      </c>
      <c r="C19" s="25" t="inlineStr">
        <is>
          <t>Apr 2026</t>
        </is>
      </c>
      <c r="D19" s="26" t="n">
        <v>15000</v>
      </c>
      <c r="E19" s="25" t="inlineStr">
        <is>
          <t>2026-04-21</t>
        </is>
      </c>
      <c r="F19" s="26" t="n">
        <v>15000</v>
      </c>
      <c r="G19" s="20" t="inlineStr">
        <is>
          <t>Raast (Habib Metro)</t>
        </is>
      </c>
      <c r="H19" s="20" t="inlineStr">
        <is>
          <t>MPBL210426172846822380</t>
        </is>
      </c>
      <c r="I19" s="25" t="inlineStr">
        <is>
          <t>730DC</t>
        </is>
      </c>
      <c r="J19" s="25" t="inlineStr">
        <is>
          <t>2026-04-25</t>
        </is>
      </c>
      <c r="K19" s="20" t="inlineStr">
        <is>
          <t>10313 (15k)</t>
        </is>
      </c>
      <c r="L19" s="26">
        <f>IF(ISNUMBER(F19), SUM(F$15:F19), "")</f>
        <v/>
      </c>
      <c r="M19" s="26">
        <f>IF(ISNUMBER(F19), $H$8-L19, "")</f>
        <v/>
      </c>
      <c r="N19" s="24">
        <f>IF(ISBLANK(F19), "Pending", IF(OR(I19="Pending", I19=""), "Paid (Receipt Pending)", "Paid &amp; Verified"))</f>
        <v/>
      </c>
      <c r="O19" s="20" t="inlineStr">
        <is>
          <t>2026-04-21_Official_Receipt_730DC_Month_05_PKR_15000.jpeg</t>
        </is>
      </c>
      <c r="P19" s="20" t="inlineStr">
        <is>
          <t>DC Monthly Installment No. 4 (Full 15k)</t>
        </is>
      </c>
    </row>
    <row r="20">
      <c r="A20" s="24" t="inlineStr">
        <is>
          <t>Month 06</t>
        </is>
      </c>
      <c r="B20" s="25" t="inlineStr">
        <is>
          <t>Year 1 (M01-M12)</t>
        </is>
      </c>
      <c r="C20" s="25" t="inlineStr">
        <is>
          <t>May 2026</t>
        </is>
      </c>
      <c r="D20" s="26" t="n">
        <v>15000</v>
      </c>
      <c r="E20" s="25" t="inlineStr">
        <is>
          <t>2026-05-28</t>
        </is>
      </c>
      <c r="F20" s="26" t="n">
        <v>15000</v>
      </c>
      <c r="G20" s="20" t="inlineStr">
        <is>
          <t>Raast (Habib Metro)</t>
        </is>
      </c>
      <c r="H20" s="20" t="inlineStr">
        <is>
          <t>MPBL280526145514180383</t>
        </is>
      </c>
      <c r="I20" s="25" t="inlineStr">
        <is>
          <t>898DC</t>
        </is>
      </c>
      <c r="J20" s="25" t="inlineStr">
        <is>
          <t>2026-06-02</t>
        </is>
      </c>
      <c r="K20" s="20" t="inlineStr">
        <is>
          <t>10313 (5k) + 10314 (10k)</t>
        </is>
      </c>
      <c r="L20" s="26">
        <f>IF(ISNUMBER(F20), SUM(F$15:F20), "")</f>
        <v/>
      </c>
      <c r="M20" s="26">
        <f>IF(ISNUMBER(F20), $H$8-L20, "")</f>
        <v/>
      </c>
      <c r="N20" s="24">
        <f>IF(ISBLANK(F20), "Pending", IF(OR(I20="Pending", I20=""), "Paid (Receipt Pending)", "Paid &amp; Verified"))</f>
        <v/>
      </c>
      <c r="O20" s="20" t="inlineStr">
        <is>
          <t>2026-05-29_Official_Receipt_898DC_Month_06_PKR_15000.jpeg</t>
        </is>
      </c>
      <c r="P20" s="20" t="inlineStr">
        <is>
          <t>Split: Inst 4 (5k) + Inst 5 (10k)</t>
        </is>
      </c>
    </row>
    <row r="21">
      <c r="A21" s="24" t="inlineStr">
        <is>
          <t>Month 07</t>
        </is>
      </c>
      <c r="B21" s="25" t="inlineStr">
        <is>
          <t>Year 1 (M01-M12)</t>
        </is>
      </c>
      <c r="C21" s="25" t="inlineStr">
        <is>
          <t>Jun 2026</t>
        </is>
      </c>
      <c r="D21" s="26" t="n">
        <v>15000</v>
      </c>
      <c r="E21" s="25" t="inlineStr">
        <is>
          <t>2026-06-23</t>
        </is>
      </c>
      <c r="F21" s="26" t="n">
        <v>15000</v>
      </c>
      <c r="G21" s="20" t="inlineStr">
        <is>
          <t>Raast (Habib Metro)</t>
        </is>
      </c>
      <c r="H21" s="20" t="inlineStr">
        <is>
          <t>MPBL230626132859643986</t>
        </is>
      </c>
      <c r="I21" s="25" t="inlineStr">
        <is>
          <t>1028DC</t>
        </is>
      </c>
      <c r="J21" s="25" t="inlineStr">
        <is>
          <t>2026-06-30</t>
        </is>
      </c>
      <c r="K21" s="20" t="inlineStr">
        <is>
          <t>10314 (10k) + 18899 (5k)</t>
        </is>
      </c>
      <c r="L21" s="26">
        <f>IF(ISNUMBER(F21), SUM(F$15:F21), "")</f>
        <v/>
      </c>
      <c r="M21" s="26">
        <f>IF(ISNUMBER(F21), $H$8-L21, "")</f>
        <v/>
      </c>
      <c r="N21" s="24">
        <f>IF(ISBLANK(F21), "Pending", IF(OR(I21="Pending", I21=""), "Paid (Receipt Pending)", "Paid &amp; Verified"))</f>
        <v/>
      </c>
      <c r="O21" s="20" t="inlineStr">
        <is>
          <t>2026-06-23_Official_Receipt_1028DC_Month_07_PKR_15000.jpeg</t>
        </is>
      </c>
      <c r="P21" s="20" t="inlineStr">
        <is>
          <t>Split: Inst 5 (10k) + Inst 6 (5k)</t>
        </is>
      </c>
    </row>
    <row r="22">
      <c r="A22" s="24" t="inlineStr">
        <is>
          <t>Month 08</t>
        </is>
      </c>
      <c r="B22" s="25" t="inlineStr">
        <is>
          <t>Year 1 (M01-M12)</t>
        </is>
      </c>
      <c r="C22" s="25" t="inlineStr">
        <is>
          <t>Jul 2026</t>
        </is>
      </c>
      <c r="D22" s="26" t="n">
        <v>15000</v>
      </c>
      <c r="E22" s="25" t="inlineStr">
        <is>
          <t>2026-07-23</t>
        </is>
      </c>
      <c r="F22" s="26" t="n">
        <v>15000</v>
      </c>
      <c r="G22" s="20" t="inlineStr">
        <is>
          <t>Raast (Habib Metro Alert)</t>
        </is>
      </c>
      <c r="H22" s="20" t="inlineStr">
        <is>
          <t>MPBL230726222144869000</t>
        </is>
      </c>
      <c r="I22" s="25" t="inlineStr">
        <is>
          <t>1197DC</t>
        </is>
      </c>
      <c r="J22" s="25" t="inlineStr">
        <is>
          <t>2026-07-28</t>
        </is>
      </c>
      <c r="K22" s="20" t="inlineStr">
        <is>
          <t>18899 (15k)</t>
        </is>
      </c>
      <c r="L22" s="26">
        <f>IF(ISNUMBER(F22), SUM(F$15:F22), "")</f>
        <v/>
      </c>
      <c r="M22" s="26">
        <f>IF(ISNUMBER(F22), $H$8-L22, "")</f>
        <v/>
      </c>
      <c r="N22" s="24">
        <f>IF(ISBLANK(F22), "Pending", IF(OR(I22="Pending", I22=""), "Paid (Receipt Pending)", "Paid &amp; Verified"))</f>
        <v/>
      </c>
      <c r="O22" s="20" t="inlineStr">
        <is>
          <t>2026-07-24_Official_Receipt_1197DC_Month_08_PKR_15000.jpeg</t>
        </is>
      </c>
      <c r="P22" s="20" t="inlineStr">
        <is>
          <t>DC Monthly Installment No. 6 (Full 15k) / Ref: 307262</t>
        </is>
      </c>
    </row>
    <row r="23">
      <c r="A23" s="27" t="inlineStr">
        <is>
          <t>Month 09</t>
        </is>
      </c>
      <c r="B23" s="28" t="inlineStr">
        <is>
          <t>Year 1 (M01-M12)</t>
        </is>
      </c>
      <c r="C23" s="28" t="inlineStr">
        <is>
          <t>Aug 2026</t>
        </is>
      </c>
      <c r="D23" s="29" t="n">
        <v>15000</v>
      </c>
      <c r="E23" s="28" t="inlineStr">
        <is>
          <t>2026-08-25</t>
        </is>
      </c>
      <c r="F23" s="29" t="n">
        <v>15000</v>
      </c>
      <c r="G23" s="30" t="inlineStr">
        <is>
          <t>Raast (Habib Metro)</t>
        </is>
      </c>
      <c r="H23" s="30" t="inlineStr">
        <is>
          <t>MPBL250826073453943870</t>
        </is>
      </c>
      <c r="I23" s="28" t="inlineStr">
        <is>
          <t>Pending</t>
        </is>
      </c>
      <c r="J23" s="28" t="inlineStr"/>
      <c r="K23" s="30" t="inlineStr"/>
      <c r="L23" s="29">
        <f>IF(ISNUMBER(F23), SUM(F$15:F23), "")</f>
        <v/>
      </c>
      <c r="M23" s="29">
        <f>IF(ISNUMBER(F23), $H$8-L23, "")</f>
        <v/>
      </c>
      <c r="N23" s="27">
        <f>IF(ISBLANK(F23), "Pending", IF(OR(I23="Pending", I23=""), "Paid (Receipt Pending)", "Paid &amp; Verified"))</f>
        <v/>
      </c>
      <c r="O23" s="30" t="inlineStr">
        <is>
          <t>2026-08-25_Bank_Transfer_Receipt_Month_09_PKR_15000.jpeg</t>
        </is>
      </c>
      <c r="P23" s="30" t="inlineStr">
        <is>
          <t>Transfer completed; Awaiting official builder receipt</t>
        </is>
      </c>
    </row>
    <row r="24">
      <c r="A24" s="31" t="inlineStr">
        <is>
          <t>Month 10</t>
        </is>
      </c>
      <c r="B24" s="32" t="inlineStr">
        <is>
          <t>Year 1 (M01-M12)</t>
        </is>
      </c>
      <c r="C24" s="32" t="inlineStr">
        <is>
          <t>Sep 2026</t>
        </is>
      </c>
      <c r="D24" s="33" t="n">
        <v>15000</v>
      </c>
      <c r="E24" s="32" t="inlineStr"/>
      <c r="F24" s="34" t="inlineStr"/>
      <c r="G24" s="35" t="inlineStr"/>
      <c r="H24" s="35" t="inlineStr"/>
      <c r="I24" s="32" t="inlineStr"/>
      <c r="J24" s="32" t="inlineStr"/>
      <c r="K24" s="35" t="inlineStr"/>
      <c r="L24" s="33">
        <f>IF(ISNUMBER(F24), SUM(F$15:F24), "")</f>
        <v/>
      </c>
      <c r="M24" s="33">
        <f>IF(ISNUMBER(F24), $H$8-L24, "")</f>
        <v/>
      </c>
      <c r="N24" s="31">
        <f>IF(ISBLANK(F24), "Pending", IF(OR(I24="Pending", I24=""), "Paid (Receipt Pending)", "Paid &amp; Verified"))</f>
        <v/>
      </c>
      <c r="O24" s="35" t="inlineStr"/>
      <c r="P24" s="35" t="inlineStr">
        <is>
          <t>Scheduled installment</t>
        </is>
      </c>
    </row>
    <row r="25">
      <c r="A25" s="36" t="inlineStr">
        <is>
          <t>Month 11</t>
        </is>
      </c>
      <c r="B25" s="37" t="inlineStr">
        <is>
          <t>Year 1 (M01-M12)</t>
        </is>
      </c>
      <c r="C25" s="37" t="inlineStr">
        <is>
          <t>Oct 2026</t>
        </is>
      </c>
      <c r="D25" s="38" t="n">
        <v>15000</v>
      </c>
      <c r="E25" s="37" t="inlineStr"/>
      <c r="F25" s="39" t="inlineStr"/>
      <c r="G25" s="40" t="inlineStr"/>
      <c r="H25" s="40" t="inlineStr"/>
      <c r="I25" s="37" t="inlineStr"/>
      <c r="J25" s="37" t="inlineStr"/>
      <c r="K25" s="40" t="inlineStr"/>
      <c r="L25" s="38">
        <f>IF(ISNUMBER(F25), SUM(F$15:F25), "")</f>
        <v/>
      </c>
      <c r="M25" s="38">
        <f>IF(ISNUMBER(F25), $H$8-L25, "")</f>
        <v/>
      </c>
      <c r="N25" s="36">
        <f>IF(ISBLANK(F25), "Pending", IF(OR(I25="Pending", I25=""), "Paid (Receipt Pending)", "Paid &amp; Verified"))</f>
        <v/>
      </c>
      <c r="O25" s="40" t="inlineStr"/>
      <c r="P25" s="40" t="inlineStr">
        <is>
          <t>Scheduled installment</t>
        </is>
      </c>
    </row>
    <row r="26">
      <c r="A26" s="31" t="inlineStr">
        <is>
          <t>Month 12</t>
        </is>
      </c>
      <c r="B26" s="32" t="inlineStr">
        <is>
          <t>Year 1 (M01-M12)</t>
        </is>
      </c>
      <c r="C26" s="32" t="inlineStr">
        <is>
          <t>Nov 2026</t>
        </is>
      </c>
      <c r="D26" s="33" t="n">
        <v>15000</v>
      </c>
      <c r="E26" s="32" t="inlineStr"/>
      <c r="F26" s="34" t="inlineStr"/>
      <c r="G26" s="35" t="inlineStr"/>
      <c r="H26" s="35" t="inlineStr"/>
      <c r="I26" s="32" t="inlineStr"/>
      <c r="J26" s="32" t="inlineStr"/>
      <c r="K26" s="35" t="inlineStr"/>
      <c r="L26" s="33">
        <f>IF(ISNUMBER(F26), SUM(F$15:F26), "")</f>
        <v/>
      </c>
      <c r="M26" s="33">
        <f>IF(ISNUMBER(F26), $H$8-L26, "")</f>
        <v/>
      </c>
      <c r="N26" s="31">
        <f>IF(ISBLANK(F26), "Pending", IF(OR(I26="Pending", I26=""), "Paid (Receipt Pending)", "Paid &amp; Verified"))</f>
        <v/>
      </c>
      <c r="O26" s="35" t="inlineStr"/>
      <c r="P26" s="35" t="inlineStr">
        <is>
          <t>Scheduled installment (Year 1 Completion)</t>
        </is>
      </c>
    </row>
    <row r="27">
      <c r="A27" s="36" t="inlineStr">
        <is>
          <t>Month 13</t>
        </is>
      </c>
      <c r="B27" s="37" t="inlineStr">
        <is>
          <t>Year 2 (M13-M24)</t>
        </is>
      </c>
      <c r="C27" s="37" t="inlineStr">
        <is>
          <t>Dec 2026</t>
        </is>
      </c>
      <c r="D27" s="38" t="n">
        <v>20000</v>
      </c>
      <c r="E27" s="37" t="inlineStr"/>
      <c r="F27" s="39" t="inlineStr"/>
      <c r="G27" s="40" t="inlineStr"/>
      <c r="H27" s="40" t="inlineStr"/>
      <c r="I27" s="37" t="inlineStr"/>
      <c r="J27" s="37" t="inlineStr"/>
      <c r="K27" s="40" t="inlineStr"/>
      <c r="L27" s="38">
        <f>IF(ISNUMBER(F27), SUM(F$15:F27), "")</f>
        <v/>
      </c>
      <c r="M27" s="38">
        <f>IF(ISNUMBER(F27), $H$8-L27, "")</f>
        <v/>
      </c>
      <c r="N27" s="36">
        <f>IF(ISBLANK(F27), "Pending", IF(OR(I27="Pending", I27=""), "Paid (Receipt Pending)", "Paid &amp; Verified"))</f>
        <v/>
      </c>
      <c r="O27" s="40" t="inlineStr"/>
      <c r="P27" s="40" t="inlineStr">
        <is>
          <t>Scheduled installment</t>
        </is>
      </c>
    </row>
    <row r="28">
      <c r="A28" s="31" t="inlineStr">
        <is>
          <t>Month 14</t>
        </is>
      </c>
      <c r="B28" s="32" t="inlineStr">
        <is>
          <t>Year 2 (M13-M24)</t>
        </is>
      </c>
      <c r="C28" s="32" t="inlineStr">
        <is>
          <t>Jan 2027</t>
        </is>
      </c>
      <c r="D28" s="33" t="n">
        <v>20000</v>
      </c>
      <c r="E28" s="32" t="inlineStr"/>
      <c r="F28" s="34" t="inlineStr"/>
      <c r="G28" s="35" t="inlineStr"/>
      <c r="H28" s="35" t="inlineStr"/>
      <c r="I28" s="32" t="inlineStr"/>
      <c r="J28" s="32" t="inlineStr"/>
      <c r="K28" s="35" t="inlineStr"/>
      <c r="L28" s="33">
        <f>IF(ISNUMBER(F28), SUM(F$15:F28), "")</f>
        <v/>
      </c>
      <c r="M28" s="33">
        <f>IF(ISNUMBER(F28), $H$8-L28, "")</f>
        <v/>
      </c>
      <c r="N28" s="31">
        <f>IF(ISBLANK(F28), "Pending", IF(OR(I28="Pending", I28=""), "Paid (Receipt Pending)", "Paid &amp; Verified"))</f>
        <v/>
      </c>
      <c r="O28" s="35" t="inlineStr"/>
      <c r="P28" s="35" t="inlineStr">
        <is>
          <t>Scheduled installment</t>
        </is>
      </c>
    </row>
    <row r="29">
      <c r="A29" s="36" t="inlineStr">
        <is>
          <t>Month 15</t>
        </is>
      </c>
      <c r="B29" s="37" t="inlineStr">
        <is>
          <t>Year 2 (M13-M24)</t>
        </is>
      </c>
      <c r="C29" s="37" t="inlineStr">
        <is>
          <t>Feb 2027</t>
        </is>
      </c>
      <c r="D29" s="38" t="n">
        <v>20000</v>
      </c>
      <c r="E29" s="37" t="inlineStr"/>
      <c r="F29" s="39" t="inlineStr"/>
      <c r="G29" s="40" t="inlineStr"/>
      <c r="H29" s="40" t="inlineStr"/>
      <c r="I29" s="37" t="inlineStr"/>
      <c r="J29" s="37" t="inlineStr"/>
      <c r="K29" s="40" t="inlineStr"/>
      <c r="L29" s="38">
        <f>IF(ISNUMBER(F29), SUM(F$15:F29), "")</f>
        <v/>
      </c>
      <c r="M29" s="38">
        <f>IF(ISNUMBER(F29), $H$8-L29, "")</f>
        <v/>
      </c>
      <c r="N29" s="36">
        <f>IF(ISBLANK(F29), "Pending", IF(OR(I29="Pending", I29=""), "Paid (Receipt Pending)", "Paid &amp; Verified"))</f>
        <v/>
      </c>
      <c r="O29" s="40" t="inlineStr"/>
      <c r="P29" s="40" t="inlineStr">
        <is>
          <t>Scheduled installment</t>
        </is>
      </c>
    </row>
    <row r="30">
      <c r="A30" s="31" t="inlineStr">
        <is>
          <t>Month 16</t>
        </is>
      </c>
      <c r="B30" s="32" t="inlineStr">
        <is>
          <t>Year 2 (M13-M24)</t>
        </is>
      </c>
      <c r="C30" s="32" t="inlineStr">
        <is>
          <t>Mar 2027</t>
        </is>
      </c>
      <c r="D30" s="33" t="n">
        <v>20000</v>
      </c>
      <c r="E30" s="32" t="inlineStr"/>
      <c r="F30" s="34" t="inlineStr"/>
      <c r="G30" s="35" t="inlineStr"/>
      <c r="H30" s="35" t="inlineStr"/>
      <c r="I30" s="32" t="inlineStr"/>
      <c r="J30" s="32" t="inlineStr"/>
      <c r="K30" s="35" t="inlineStr"/>
      <c r="L30" s="33">
        <f>IF(ISNUMBER(F30), SUM(F$15:F30), "")</f>
        <v/>
      </c>
      <c r="M30" s="33">
        <f>IF(ISNUMBER(F30), $H$8-L30, "")</f>
        <v/>
      </c>
      <c r="N30" s="31">
        <f>IF(ISBLANK(F30), "Pending", IF(OR(I30="Pending", I30=""), "Paid (Receipt Pending)", "Paid &amp; Verified"))</f>
        <v/>
      </c>
      <c r="O30" s="35" t="inlineStr"/>
      <c r="P30" s="35" t="inlineStr">
        <is>
          <t>Scheduled installment</t>
        </is>
      </c>
    </row>
    <row r="31">
      <c r="A31" s="36" t="inlineStr">
        <is>
          <t>Month 17</t>
        </is>
      </c>
      <c r="B31" s="37" t="inlineStr">
        <is>
          <t>Year 2 (M13-M24)</t>
        </is>
      </c>
      <c r="C31" s="37" t="inlineStr">
        <is>
          <t>Apr 2027</t>
        </is>
      </c>
      <c r="D31" s="38" t="n">
        <v>20000</v>
      </c>
      <c r="E31" s="37" t="inlineStr"/>
      <c r="F31" s="39" t="inlineStr"/>
      <c r="G31" s="40" t="inlineStr"/>
      <c r="H31" s="40" t="inlineStr"/>
      <c r="I31" s="37" t="inlineStr"/>
      <c r="J31" s="37" t="inlineStr"/>
      <c r="K31" s="40" t="inlineStr"/>
      <c r="L31" s="38">
        <f>IF(ISNUMBER(F31), SUM(F$15:F31), "")</f>
        <v/>
      </c>
      <c r="M31" s="38">
        <f>IF(ISNUMBER(F31), $H$8-L31, "")</f>
        <v/>
      </c>
      <c r="N31" s="36">
        <f>IF(ISBLANK(F31), "Pending", IF(OR(I31="Pending", I31=""), "Paid (Receipt Pending)", "Paid &amp; Verified"))</f>
        <v/>
      </c>
      <c r="O31" s="40" t="inlineStr"/>
      <c r="P31" s="40" t="inlineStr">
        <is>
          <t>Scheduled installment</t>
        </is>
      </c>
    </row>
    <row r="32">
      <c r="A32" s="31" t="inlineStr">
        <is>
          <t>Month 18</t>
        </is>
      </c>
      <c r="B32" s="32" t="inlineStr">
        <is>
          <t>Year 2 (M13-M24)</t>
        </is>
      </c>
      <c r="C32" s="32" t="inlineStr">
        <is>
          <t>May 2027</t>
        </is>
      </c>
      <c r="D32" s="33" t="n">
        <v>20000</v>
      </c>
      <c r="E32" s="32" t="inlineStr"/>
      <c r="F32" s="34" t="inlineStr"/>
      <c r="G32" s="35" t="inlineStr"/>
      <c r="H32" s="35" t="inlineStr"/>
      <c r="I32" s="32" t="inlineStr"/>
      <c r="J32" s="32" t="inlineStr"/>
      <c r="K32" s="35" t="inlineStr"/>
      <c r="L32" s="33">
        <f>IF(ISNUMBER(F32), SUM(F$15:F32), "")</f>
        <v/>
      </c>
      <c r="M32" s="33">
        <f>IF(ISNUMBER(F32), $H$8-L32, "")</f>
        <v/>
      </c>
      <c r="N32" s="31">
        <f>IF(ISBLANK(F32), "Pending", IF(OR(I32="Pending", I32=""), "Paid (Receipt Pending)", "Paid &amp; Verified"))</f>
        <v/>
      </c>
      <c r="O32" s="35" t="inlineStr"/>
      <c r="P32" s="35" t="inlineStr">
        <is>
          <t>Scheduled installment</t>
        </is>
      </c>
    </row>
    <row r="33">
      <c r="A33" s="36" t="inlineStr">
        <is>
          <t>Month 19</t>
        </is>
      </c>
      <c r="B33" s="37" t="inlineStr">
        <is>
          <t>Year 2 (M13-M24)</t>
        </is>
      </c>
      <c r="C33" s="37" t="inlineStr">
        <is>
          <t>Jun 2027</t>
        </is>
      </c>
      <c r="D33" s="38" t="n">
        <v>20000</v>
      </c>
      <c r="E33" s="37" t="inlineStr"/>
      <c r="F33" s="39" t="inlineStr"/>
      <c r="G33" s="40" t="inlineStr"/>
      <c r="H33" s="40" t="inlineStr"/>
      <c r="I33" s="37" t="inlineStr"/>
      <c r="J33" s="37" t="inlineStr"/>
      <c r="K33" s="40" t="inlineStr"/>
      <c r="L33" s="38">
        <f>IF(ISNUMBER(F33), SUM(F$15:F33), "")</f>
        <v/>
      </c>
      <c r="M33" s="38">
        <f>IF(ISNUMBER(F33), $H$8-L33, "")</f>
        <v/>
      </c>
      <c r="N33" s="36">
        <f>IF(ISBLANK(F33), "Pending", IF(OR(I33="Pending", I33=""), "Paid (Receipt Pending)", "Paid &amp; Verified"))</f>
        <v/>
      </c>
      <c r="O33" s="40" t="inlineStr"/>
      <c r="P33" s="40" t="inlineStr">
        <is>
          <t>Scheduled installment</t>
        </is>
      </c>
    </row>
    <row r="34">
      <c r="A34" s="31" t="inlineStr">
        <is>
          <t>Month 20</t>
        </is>
      </c>
      <c r="B34" s="32" t="inlineStr">
        <is>
          <t>Year 2 (M13-M24)</t>
        </is>
      </c>
      <c r="C34" s="32" t="inlineStr">
        <is>
          <t>Jul 2027</t>
        </is>
      </c>
      <c r="D34" s="33" t="n">
        <v>20000</v>
      </c>
      <c r="E34" s="32" t="inlineStr"/>
      <c r="F34" s="34" t="inlineStr"/>
      <c r="G34" s="35" t="inlineStr"/>
      <c r="H34" s="35" t="inlineStr"/>
      <c r="I34" s="32" t="inlineStr"/>
      <c r="J34" s="32" t="inlineStr"/>
      <c r="K34" s="35" t="inlineStr"/>
      <c r="L34" s="33">
        <f>IF(ISNUMBER(F34), SUM(F$15:F34), "")</f>
        <v/>
      </c>
      <c r="M34" s="33">
        <f>IF(ISNUMBER(F34), $H$8-L34, "")</f>
        <v/>
      </c>
      <c r="N34" s="31">
        <f>IF(ISBLANK(F34), "Pending", IF(OR(I34="Pending", I34=""), "Paid (Receipt Pending)", "Paid &amp; Verified"))</f>
        <v/>
      </c>
      <c r="O34" s="35" t="inlineStr"/>
      <c r="P34" s="35" t="inlineStr">
        <is>
          <t>Scheduled installment</t>
        </is>
      </c>
    </row>
    <row r="35">
      <c r="A35" s="36" t="inlineStr">
        <is>
          <t>Month 21</t>
        </is>
      </c>
      <c r="B35" s="37" t="inlineStr">
        <is>
          <t>Year 2 (M13-M24)</t>
        </is>
      </c>
      <c r="C35" s="37" t="inlineStr">
        <is>
          <t>Aug 2027</t>
        </is>
      </c>
      <c r="D35" s="38" t="n">
        <v>20000</v>
      </c>
      <c r="E35" s="37" t="inlineStr"/>
      <c r="F35" s="39" t="inlineStr"/>
      <c r="G35" s="40" t="inlineStr"/>
      <c r="H35" s="40" t="inlineStr"/>
      <c r="I35" s="37" t="inlineStr"/>
      <c r="J35" s="37" t="inlineStr"/>
      <c r="K35" s="40" t="inlineStr"/>
      <c r="L35" s="38">
        <f>IF(ISNUMBER(F35), SUM(F$15:F35), "")</f>
        <v/>
      </c>
      <c r="M35" s="38">
        <f>IF(ISNUMBER(F35), $H$8-L35, "")</f>
        <v/>
      </c>
      <c r="N35" s="36">
        <f>IF(ISBLANK(F35), "Pending", IF(OR(I35="Pending", I35=""), "Paid (Receipt Pending)", "Paid &amp; Verified"))</f>
        <v/>
      </c>
      <c r="O35" s="40" t="inlineStr"/>
      <c r="P35" s="40" t="inlineStr">
        <is>
          <t>Scheduled installment</t>
        </is>
      </c>
    </row>
    <row r="36">
      <c r="A36" s="31" t="inlineStr">
        <is>
          <t>Month 22</t>
        </is>
      </c>
      <c r="B36" s="32" t="inlineStr">
        <is>
          <t>Year 2 (M13-M24)</t>
        </is>
      </c>
      <c r="C36" s="32" t="inlineStr">
        <is>
          <t>Sep 2027</t>
        </is>
      </c>
      <c r="D36" s="33" t="n">
        <v>20000</v>
      </c>
      <c r="E36" s="32" t="inlineStr"/>
      <c r="F36" s="34" t="inlineStr"/>
      <c r="G36" s="35" t="inlineStr"/>
      <c r="H36" s="35" t="inlineStr"/>
      <c r="I36" s="32" t="inlineStr"/>
      <c r="J36" s="32" t="inlineStr"/>
      <c r="K36" s="35" t="inlineStr"/>
      <c r="L36" s="33">
        <f>IF(ISNUMBER(F36), SUM(F$15:F36), "")</f>
        <v/>
      </c>
      <c r="M36" s="33">
        <f>IF(ISNUMBER(F36), $H$8-L36, "")</f>
        <v/>
      </c>
      <c r="N36" s="31">
        <f>IF(ISBLANK(F36), "Pending", IF(OR(I36="Pending", I36=""), "Paid (Receipt Pending)", "Paid &amp; Verified"))</f>
        <v/>
      </c>
      <c r="O36" s="35" t="inlineStr"/>
      <c r="P36" s="35" t="inlineStr">
        <is>
          <t>Scheduled installment</t>
        </is>
      </c>
    </row>
    <row r="37">
      <c r="A37" s="36" t="inlineStr">
        <is>
          <t>Month 23</t>
        </is>
      </c>
      <c r="B37" s="37" t="inlineStr">
        <is>
          <t>Year 2 (M13-M24)</t>
        </is>
      </c>
      <c r="C37" s="37" t="inlineStr">
        <is>
          <t>Oct 2027</t>
        </is>
      </c>
      <c r="D37" s="38" t="n">
        <v>20000</v>
      </c>
      <c r="E37" s="37" t="inlineStr"/>
      <c r="F37" s="39" t="inlineStr"/>
      <c r="G37" s="40" t="inlineStr"/>
      <c r="H37" s="40" t="inlineStr"/>
      <c r="I37" s="37" t="inlineStr"/>
      <c r="J37" s="37" t="inlineStr"/>
      <c r="K37" s="40" t="inlineStr"/>
      <c r="L37" s="38">
        <f>IF(ISNUMBER(F37), SUM(F$15:F37), "")</f>
        <v/>
      </c>
      <c r="M37" s="38">
        <f>IF(ISNUMBER(F37), $H$8-L37, "")</f>
        <v/>
      </c>
      <c r="N37" s="36">
        <f>IF(ISBLANK(F37), "Pending", IF(OR(I37="Pending", I37=""), "Paid (Receipt Pending)", "Paid &amp; Verified"))</f>
        <v/>
      </c>
      <c r="O37" s="40" t="inlineStr"/>
      <c r="P37" s="40" t="inlineStr">
        <is>
          <t>Scheduled installment</t>
        </is>
      </c>
    </row>
    <row r="38">
      <c r="A38" s="31" t="inlineStr">
        <is>
          <t>Month 24</t>
        </is>
      </c>
      <c r="B38" s="32" t="inlineStr">
        <is>
          <t>Year 2 (M13-M24)</t>
        </is>
      </c>
      <c r="C38" s="32" t="inlineStr">
        <is>
          <t>Nov 2027</t>
        </is>
      </c>
      <c r="D38" s="33" t="n">
        <v>20000</v>
      </c>
      <c r="E38" s="32" t="inlineStr"/>
      <c r="F38" s="34" t="inlineStr"/>
      <c r="G38" s="35" t="inlineStr"/>
      <c r="H38" s="35" t="inlineStr"/>
      <c r="I38" s="32" t="inlineStr"/>
      <c r="J38" s="32" t="inlineStr"/>
      <c r="K38" s="35" t="inlineStr"/>
      <c r="L38" s="33">
        <f>IF(ISNUMBER(F38), SUM(F$15:F38), "")</f>
        <v/>
      </c>
      <c r="M38" s="33">
        <f>IF(ISNUMBER(F38), $H$8-L38, "")</f>
        <v/>
      </c>
      <c r="N38" s="31">
        <f>IF(ISBLANK(F38), "Pending", IF(OR(I38="Pending", I38=""), "Paid (Receipt Pending)", "Paid &amp; Verified"))</f>
        <v/>
      </c>
      <c r="O38" s="35" t="inlineStr"/>
      <c r="P38" s="35" t="inlineStr">
        <is>
          <t>Scheduled installment (Year 2 Completion)</t>
        </is>
      </c>
    </row>
    <row r="39">
      <c r="A39" s="36" t="inlineStr">
        <is>
          <t>Month 25</t>
        </is>
      </c>
      <c r="B39" s="37" t="inlineStr">
        <is>
          <t>Year 3 (M25-M36)</t>
        </is>
      </c>
      <c r="C39" s="37" t="inlineStr">
        <is>
          <t>Dec 2027</t>
        </is>
      </c>
      <c r="D39" s="38" t="n">
        <v>25000</v>
      </c>
      <c r="E39" s="37" t="inlineStr"/>
      <c r="F39" s="39" t="inlineStr"/>
      <c r="G39" s="40" t="inlineStr"/>
      <c r="H39" s="40" t="inlineStr"/>
      <c r="I39" s="37" t="inlineStr"/>
      <c r="J39" s="37" t="inlineStr"/>
      <c r="K39" s="40" t="inlineStr"/>
      <c r="L39" s="38">
        <f>IF(ISNUMBER(F39), SUM(F$15:F39), "")</f>
        <v/>
      </c>
      <c r="M39" s="38">
        <f>IF(ISNUMBER(F39), $H$8-L39, "")</f>
        <v/>
      </c>
      <c r="N39" s="36">
        <f>IF(ISBLANK(F39), "Pending", IF(OR(I39="Pending", I39=""), "Paid (Receipt Pending)", "Paid &amp; Verified"))</f>
        <v/>
      </c>
      <c r="O39" s="40" t="inlineStr"/>
      <c r="P39" s="40" t="inlineStr">
        <is>
          <t>Scheduled installment</t>
        </is>
      </c>
    </row>
    <row r="40">
      <c r="A40" s="31" t="inlineStr">
        <is>
          <t>Month 26</t>
        </is>
      </c>
      <c r="B40" s="32" t="inlineStr">
        <is>
          <t>Year 3 (M25-M36)</t>
        </is>
      </c>
      <c r="C40" s="32" t="inlineStr">
        <is>
          <t>Jan 2028</t>
        </is>
      </c>
      <c r="D40" s="33" t="n">
        <v>25000</v>
      </c>
      <c r="E40" s="32" t="inlineStr"/>
      <c r="F40" s="34" t="inlineStr"/>
      <c r="G40" s="35" t="inlineStr"/>
      <c r="H40" s="35" t="inlineStr"/>
      <c r="I40" s="32" t="inlineStr"/>
      <c r="J40" s="32" t="inlineStr"/>
      <c r="K40" s="35" t="inlineStr"/>
      <c r="L40" s="33">
        <f>IF(ISNUMBER(F40), SUM(F$15:F40), "")</f>
        <v/>
      </c>
      <c r="M40" s="33">
        <f>IF(ISNUMBER(F40), $H$8-L40, "")</f>
        <v/>
      </c>
      <c r="N40" s="31">
        <f>IF(ISBLANK(F40), "Pending", IF(OR(I40="Pending", I40=""), "Paid (Receipt Pending)", "Paid &amp; Verified"))</f>
        <v/>
      </c>
      <c r="O40" s="35" t="inlineStr"/>
      <c r="P40" s="35" t="inlineStr">
        <is>
          <t>Scheduled installment</t>
        </is>
      </c>
    </row>
    <row r="41">
      <c r="A41" s="36" t="inlineStr">
        <is>
          <t>Month 27</t>
        </is>
      </c>
      <c r="B41" s="37" t="inlineStr">
        <is>
          <t>Year 3 (M25-M36)</t>
        </is>
      </c>
      <c r="C41" s="37" t="inlineStr">
        <is>
          <t>Feb 2028</t>
        </is>
      </c>
      <c r="D41" s="38" t="n">
        <v>25000</v>
      </c>
      <c r="E41" s="37" t="inlineStr"/>
      <c r="F41" s="39" t="inlineStr"/>
      <c r="G41" s="40" t="inlineStr"/>
      <c r="H41" s="40" t="inlineStr"/>
      <c r="I41" s="37" t="inlineStr"/>
      <c r="J41" s="37" t="inlineStr"/>
      <c r="K41" s="40" t="inlineStr"/>
      <c r="L41" s="38">
        <f>IF(ISNUMBER(F41), SUM(F$15:F41), "")</f>
        <v/>
      </c>
      <c r="M41" s="38">
        <f>IF(ISNUMBER(F41), $H$8-L41, "")</f>
        <v/>
      </c>
      <c r="N41" s="36">
        <f>IF(ISBLANK(F41), "Pending", IF(OR(I41="Pending", I41=""), "Paid (Receipt Pending)", "Paid &amp; Verified"))</f>
        <v/>
      </c>
      <c r="O41" s="40" t="inlineStr"/>
      <c r="P41" s="40" t="inlineStr">
        <is>
          <t>Scheduled installment</t>
        </is>
      </c>
    </row>
    <row r="42">
      <c r="A42" s="31" t="inlineStr">
        <is>
          <t>Month 28</t>
        </is>
      </c>
      <c r="B42" s="32" t="inlineStr">
        <is>
          <t>Year 3 (M25-M36)</t>
        </is>
      </c>
      <c r="C42" s="32" t="inlineStr">
        <is>
          <t>Mar 2028</t>
        </is>
      </c>
      <c r="D42" s="33" t="n">
        <v>25000</v>
      </c>
      <c r="E42" s="32" t="inlineStr"/>
      <c r="F42" s="34" t="inlineStr"/>
      <c r="G42" s="35" t="inlineStr"/>
      <c r="H42" s="35" t="inlineStr"/>
      <c r="I42" s="32" t="inlineStr"/>
      <c r="J42" s="32" t="inlineStr"/>
      <c r="K42" s="35" t="inlineStr"/>
      <c r="L42" s="33">
        <f>IF(ISNUMBER(F42), SUM(F$15:F42), "")</f>
        <v/>
      </c>
      <c r="M42" s="33">
        <f>IF(ISNUMBER(F42), $H$8-L42, "")</f>
        <v/>
      </c>
      <c r="N42" s="31">
        <f>IF(ISBLANK(F42), "Pending", IF(OR(I42="Pending", I42=""), "Paid (Receipt Pending)", "Paid &amp; Verified"))</f>
        <v/>
      </c>
      <c r="O42" s="35" t="inlineStr"/>
      <c r="P42" s="35" t="inlineStr">
        <is>
          <t>Scheduled installment</t>
        </is>
      </c>
    </row>
    <row r="43">
      <c r="A43" s="36" t="inlineStr">
        <is>
          <t>Month 29</t>
        </is>
      </c>
      <c r="B43" s="37" t="inlineStr">
        <is>
          <t>Year 3 (M25-M36)</t>
        </is>
      </c>
      <c r="C43" s="37" t="inlineStr">
        <is>
          <t>Apr 2028</t>
        </is>
      </c>
      <c r="D43" s="38" t="n">
        <v>25000</v>
      </c>
      <c r="E43" s="37" t="inlineStr"/>
      <c r="F43" s="39" t="inlineStr"/>
      <c r="G43" s="40" t="inlineStr"/>
      <c r="H43" s="40" t="inlineStr"/>
      <c r="I43" s="37" t="inlineStr"/>
      <c r="J43" s="37" t="inlineStr"/>
      <c r="K43" s="40" t="inlineStr"/>
      <c r="L43" s="38">
        <f>IF(ISNUMBER(F43), SUM(F$15:F43), "")</f>
        <v/>
      </c>
      <c r="M43" s="38">
        <f>IF(ISNUMBER(F43), $H$8-L43, "")</f>
        <v/>
      </c>
      <c r="N43" s="36">
        <f>IF(ISBLANK(F43), "Pending", IF(OR(I43="Pending", I43=""), "Paid (Receipt Pending)", "Paid &amp; Verified"))</f>
        <v/>
      </c>
      <c r="O43" s="40" t="inlineStr"/>
      <c r="P43" s="40" t="inlineStr">
        <is>
          <t>Scheduled installment</t>
        </is>
      </c>
    </row>
    <row r="44">
      <c r="A44" s="31" t="inlineStr">
        <is>
          <t>Month 30</t>
        </is>
      </c>
      <c r="B44" s="32" t="inlineStr">
        <is>
          <t>Year 3 (M25-M36)</t>
        </is>
      </c>
      <c r="C44" s="32" t="inlineStr">
        <is>
          <t>May 2028</t>
        </is>
      </c>
      <c r="D44" s="33" t="n">
        <v>25000</v>
      </c>
      <c r="E44" s="32" t="inlineStr"/>
      <c r="F44" s="34" t="inlineStr"/>
      <c r="G44" s="35" t="inlineStr"/>
      <c r="H44" s="35" t="inlineStr"/>
      <c r="I44" s="32" t="inlineStr"/>
      <c r="J44" s="32" t="inlineStr"/>
      <c r="K44" s="35" t="inlineStr"/>
      <c r="L44" s="33">
        <f>IF(ISNUMBER(F44), SUM(F$15:F44), "")</f>
        <v/>
      </c>
      <c r="M44" s="33">
        <f>IF(ISNUMBER(F44), $H$8-L44, "")</f>
        <v/>
      </c>
      <c r="N44" s="31">
        <f>IF(ISBLANK(F44), "Pending", IF(OR(I44="Pending", I44=""), "Paid (Receipt Pending)", "Paid &amp; Verified"))</f>
        <v/>
      </c>
      <c r="O44" s="35" t="inlineStr"/>
      <c r="P44" s="35" t="inlineStr">
        <is>
          <t>Scheduled installment</t>
        </is>
      </c>
    </row>
    <row r="45">
      <c r="A45" s="36" t="inlineStr">
        <is>
          <t>Month 31</t>
        </is>
      </c>
      <c r="B45" s="37" t="inlineStr">
        <is>
          <t>Year 3 (M25-M36)</t>
        </is>
      </c>
      <c r="C45" s="37" t="inlineStr">
        <is>
          <t>Jun 2028</t>
        </is>
      </c>
      <c r="D45" s="38" t="n">
        <v>25000</v>
      </c>
      <c r="E45" s="37" t="inlineStr"/>
      <c r="F45" s="39" t="inlineStr"/>
      <c r="G45" s="40" t="inlineStr"/>
      <c r="H45" s="40" t="inlineStr"/>
      <c r="I45" s="37" t="inlineStr"/>
      <c r="J45" s="37" t="inlineStr"/>
      <c r="K45" s="40" t="inlineStr"/>
      <c r="L45" s="38">
        <f>IF(ISNUMBER(F45), SUM(F$15:F45), "")</f>
        <v/>
      </c>
      <c r="M45" s="38">
        <f>IF(ISNUMBER(F45), $H$8-L45, "")</f>
        <v/>
      </c>
      <c r="N45" s="36">
        <f>IF(ISBLANK(F45), "Pending", IF(OR(I45="Pending", I45=""), "Paid (Receipt Pending)", "Paid &amp; Verified"))</f>
        <v/>
      </c>
      <c r="O45" s="40" t="inlineStr"/>
      <c r="P45" s="40" t="inlineStr">
        <is>
          <t>Scheduled installment</t>
        </is>
      </c>
    </row>
    <row r="46">
      <c r="A46" s="31" t="inlineStr">
        <is>
          <t>Month 32</t>
        </is>
      </c>
      <c r="B46" s="32" t="inlineStr">
        <is>
          <t>Year 3 (M25-M36)</t>
        </is>
      </c>
      <c r="C46" s="32" t="inlineStr">
        <is>
          <t>Jul 2028</t>
        </is>
      </c>
      <c r="D46" s="33" t="n">
        <v>25000</v>
      </c>
      <c r="E46" s="32" t="inlineStr"/>
      <c r="F46" s="34" t="inlineStr"/>
      <c r="G46" s="35" t="inlineStr"/>
      <c r="H46" s="35" t="inlineStr"/>
      <c r="I46" s="32" t="inlineStr"/>
      <c r="J46" s="32" t="inlineStr"/>
      <c r="K46" s="35" t="inlineStr"/>
      <c r="L46" s="33">
        <f>IF(ISNUMBER(F46), SUM(F$15:F46), "")</f>
        <v/>
      </c>
      <c r="M46" s="33">
        <f>IF(ISNUMBER(F46), $H$8-L46, "")</f>
        <v/>
      </c>
      <c r="N46" s="31">
        <f>IF(ISBLANK(F46), "Pending", IF(OR(I46="Pending", I46=""), "Paid (Receipt Pending)", "Paid &amp; Verified"))</f>
        <v/>
      </c>
      <c r="O46" s="35" t="inlineStr"/>
      <c r="P46" s="35" t="inlineStr">
        <is>
          <t>Scheduled installment</t>
        </is>
      </c>
    </row>
    <row r="47">
      <c r="A47" s="36" t="inlineStr">
        <is>
          <t>Month 33</t>
        </is>
      </c>
      <c r="B47" s="37" t="inlineStr">
        <is>
          <t>Year 3 (M25-M36)</t>
        </is>
      </c>
      <c r="C47" s="37" t="inlineStr">
        <is>
          <t>Aug 2028</t>
        </is>
      </c>
      <c r="D47" s="38" t="n">
        <v>25000</v>
      </c>
      <c r="E47" s="37" t="inlineStr"/>
      <c r="F47" s="39" t="inlineStr"/>
      <c r="G47" s="40" t="inlineStr"/>
      <c r="H47" s="40" t="inlineStr"/>
      <c r="I47" s="37" t="inlineStr"/>
      <c r="J47" s="37" t="inlineStr"/>
      <c r="K47" s="40" t="inlineStr"/>
      <c r="L47" s="38">
        <f>IF(ISNUMBER(F47), SUM(F$15:F47), "")</f>
        <v/>
      </c>
      <c r="M47" s="38">
        <f>IF(ISNUMBER(F47), $H$8-L47, "")</f>
        <v/>
      </c>
      <c r="N47" s="36">
        <f>IF(ISBLANK(F47), "Pending", IF(OR(I47="Pending", I47=""), "Paid (Receipt Pending)", "Paid &amp; Verified"))</f>
        <v/>
      </c>
      <c r="O47" s="40" t="inlineStr"/>
      <c r="P47" s="40" t="inlineStr">
        <is>
          <t>Scheduled installment</t>
        </is>
      </c>
    </row>
    <row r="48">
      <c r="A48" s="31" t="inlineStr">
        <is>
          <t>Month 34</t>
        </is>
      </c>
      <c r="B48" s="32" t="inlineStr">
        <is>
          <t>Year 3 (M25-M36)</t>
        </is>
      </c>
      <c r="C48" s="32" t="inlineStr">
        <is>
          <t>Sep 2028</t>
        </is>
      </c>
      <c r="D48" s="33" t="n">
        <v>25000</v>
      </c>
      <c r="E48" s="32" t="inlineStr"/>
      <c r="F48" s="34" t="inlineStr"/>
      <c r="G48" s="35" t="inlineStr"/>
      <c r="H48" s="35" t="inlineStr"/>
      <c r="I48" s="32" t="inlineStr"/>
      <c r="J48" s="32" t="inlineStr"/>
      <c r="K48" s="35" t="inlineStr"/>
      <c r="L48" s="33">
        <f>IF(ISNUMBER(F48), SUM(F$15:F48), "")</f>
        <v/>
      </c>
      <c r="M48" s="33">
        <f>IF(ISNUMBER(F48), $H$8-L48, "")</f>
        <v/>
      </c>
      <c r="N48" s="31">
        <f>IF(ISBLANK(F48), "Pending", IF(OR(I48="Pending", I48=""), "Paid (Receipt Pending)", "Paid &amp; Verified"))</f>
        <v/>
      </c>
      <c r="O48" s="35" t="inlineStr"/>
      <c r="P48" s="35" t="inlineStr">
        <is>
          <t>Scheduled installment</t>
        </is>
      </c>
    </row>
    <row r="49">
      <c r="A49" s="36" t="inlineStr">
        <is>
          <t>Month 35</t>
        </is>
      </c>
      <c r="B49" s="37" t="inlineStr">
        <is>
          <t>Year 3 (M25-M36)</t>
        </is>
      </c>
      <c r="C49" s="37" t="inlineStr">
        <is>
          <t>Oct 2028</t>
        </is>
      </c>
      <c r="D49" s="38" t="n">
        <v>25000</v>
      </c>
      <c r="E49" s="37" t="inlineStr"/>
      <c r="F49" s="39" t="inlineStr"/>
      <c r="G49" s="40" t="inlineStr"/>
      <c r="H49" s="40" t="inlineStr"/>
      <c r="I49" s="37" t="inlineStr"/>
      <c r="J49" s="37" t="inlineStr"/>
      <c r="K49" s="40" t="inlineStr"/>
      <c r="L49" s="38">
        <f>IF(ISNUMBER(F49), SUM(F$15:F49), "")</f>
        <v/>
      </c>
      <c r="M49" s="38">
        <f>IF(ISNUMBER(F49), $H$8-L49, "")</f>
        <v/>
      </c>
      <c r="N49" s="36">
        <f>IF(ISBLANK(F49), "Pending", IF(OR(I49="Pending", I49=""), "Paid (Receipt Pending)", "Paid &amp; Verified"))</f>
        <v/>
      </c>
      <c r="O49" s="40" t="inlineStr"/>
      <c r="P49" s="40" t="inlineStr">
        <is>
          <t>Scheduled installment</t>
        </is>
      </c>
    </row>
    <row r="50">
      <c r="A50" s="31" t="inlineStr">
        <is>
          <t>Month 36</t>
        </is>
      </c>
      <c r="B50" s="32" t="inlineStr">
        <is>
          <t>Year 3 (M25-M36)</t>
        </is>
      </c>
      <c r="C50" s="32" t="inlineStr">
        <is>
          <t>Nov 2028</t>
        </is>
      </c>
      <c r="D50" s="33" t="n">
        <v>25000</v>
      </c>
      <c r="E50" s="32" t="inlineStr"/>
      <c r="F50" s="34" t="inlineStr"/>
      <c r="G50" s="35" t="inlineStr"/>
      <c r="H50" s="35" t="inlineStr"/>
      <c r="I50" s="32" t="inlineStr"/>
      <c r="J50" s="32" t="inlineStr"/>
      <c r="K50" s="35" t="inlineStr"/>
      <c r="L50" s="33">
        <f>IF(ISNUMBER(F50), SUM(F$15:F50), "")</f>
        <v/>
      </c>
      <c r="M50" s="33">
        <f>IF(ISNUMBER(F50), $H$8-L50, "")</f>
        <v/>
      </c>
      <c r="N50" s="31">
        <f>IF(ISBLANK(F50), "Pending", IF(OR(I50="Pending", I50=""), "Paid (Receipt Pending)", "Paid &amp; Verified"))</f>
        <v/>
      </c>
      <c r="O50" s="35" t="inlineStr"/>
      <c r="P50" s="35" t="inlineStr">
        <is>
          <t>Scheduled installment (Year 3 Completion)</t>
        </is>
      </c>
    </row>
    <row r="51">
      <c r="A51" s="36" t="inlineStr">
        <is>
          <t>Month 37</t>
        </is>
      </c>
      <c r="B51" s="37" t="inlineStr">
        <is>
          <t>Final (M37)</t>
        </is>
      </c>
      <c r="C51" s="37" t="inlineStr">
        <is>
          <t>Dec 2028</t>
        </is>
      </c>
      <c r="D51" s="38" t="n">
        <v>230000</v>
      </c>
      <c r="E51" s="37" t="inlineStr"/>
      <c r="F51" s="39" t="inlineStr"/>
      <c r="G51" s="40" t="inlineStr"/>
      <c r="H51" s="40" t="inlineStr"/>
      <c r="I51" s="37" t="inlineStr"/>
      <c r="J51" s="37" t="inlineStr"/>
      <c r="K51" s="40" t="inlineStr"/>
      <c r="L51" s="38">
        <f>IF(ISNUMBER(F51), SUM(F$15:F51), "")</f>
        <v/>
      </c>
      <c r="M51" s="38">
        <f>IF(ISNUMBER(F51), $H$8-L51, "")</f>
        <v/>
      </c>
      <c r="N51" s="36">
        <f>IF(ISBLANK(F51), "Pending", IF(OR(I51="Pending", I51=""), "Paid (Receipt Pending)", "Paid &amp; Verified"))</f>
        <v/>
      </c>
      <c r="O51" s="40" t="inlineStr"/>
      <c r="P51" s="40" t="inlineStr">
        <is>
          <t>Final lump sum settlement payment</t>
        </is>
      </c>
    </row>
    <row r="52">
      <c r="A52" s="41" t="inlineStr">
        <is>
          <t>TOTAL</t>
        </is>
      </c>
      <c r="B52" s="42" t="n"/>
      <c r="C52" s="42" t="n"/>
      <c r="D52" s="43">
        <f>SUM(D15:D51)</f>
        <v/>
      </c>
      <c r="E52" s="42" t="n"/>
      <c r="F52" s="43">
        <f>SUM(F15:F51)</f>
        <v/>
      </c>
      <c r="G52" s="42" t="n"/>
      <c r="H52" s="42" t="n"/>
      <c r="I52" s="42" t="n"/>
      <c r="J52" s="42" t="n"/>
      <c r="K52" s="42" t="n"/>
      <c r="L52" s="43">
        <f>MAX(L15:L51)</f>
        <v/>
      </c>
      <c r="M52" s="43">
        <f>MIN(M15:M51)</f>
        <v/>
      </c>
      <c r="N52" s="41">
        <f>TEXT(COUNT(F15:F51),"0") &amp; " / 37 Paid"</f>
        <v/>
      </c>
      <c r="O52" s="42" t="n"/>
      <c r="P52" s="42" t="n"/>
    </row>
  </sheetData>
  <mergeCells count="19">
    <mergeCell ref="A1:P2"/>
    <mergeCell ref="C9:E9"/>
    <mergeCell ref="I12:K12"/>
    <mergeCell ref="B5:E5"/>
    <mergeCell ref="C12:E12"/>
    <mergeCell ref="C11:E11"/>
    <mergeCell ref="C8:E8"/>
    <mergeCell ref="I8:K8"/>
    <mergeCell ref="C7:E7"/>
    <mergeCell ref="A52:C52"/>
    <mergeCell ref="I10:K10"/>
    <mergeCell ref="I9:K9"/>
    <mergeCell ref="G5:K5"/>
    <mergeCell ref="C6:E6"/>
    <mergeCell ref="I6:K6"/>
    <mergeCell ref="I11:K11"/>
    <mergeCell ref="A3:P3"/>
    <mergeCell ref="I7:K7"/>
    <mergeCell ref="C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4" customWidth="1" min="4" max="4"/>
    <col width="22" customWidth="1" min="5" max="5"/>
    <col width="24" customWidth="1" min="6" max="6"/>
    <col width="18" customWidth="1" min="7" max="7"/>
    <col width="22" customWidth="1" min="8" max="8"/>
  </cols>
  <sheetData>
    <row r="1">
      <c r="A1" s="1" t="inlineStr">
        <is>
          <t>AL GHAFOOR UTILITY CHARGES - YEARLY &amp; PHASE BREAKDOWN</t>
        </is>
      </c>
    </row>
    <row r="2"/>
    <row r="4">
      <c r="A4" s="19" t="inlineStr">
        <is>
          <t>Payment Phase</t>
        </is>
      </c>
      <c r="B4" s="19" t="inlineStr">
        <is>
          <t>Month Range</t>
        </is>
      </c>
      <c r="C4" s="19" t="inlineStr">
        <is>
          <t>Monthly Rate (PKR)</t>
        </is>
      </c>
      <c r="D4" s="19" t="inlineStr">
        <is>
          <t>Total Scheduled (PKR)</t>
        </is>
      </c>
      <c r="E4" s="19" t="inlineStr">
        <is>
          <t>Paid to Date (PKR)</t>
        </is>
      </c>
      <c r="F4" s="19" t="inlineStr">
        <is>
          <t>Remaining Balance (PKR)</t>
        </is>
      </c>
      <c r="G4" s="19" t="inlineStr">
        <is>
          <t>Months Cleared</t>
        </is>
      </c>
      <c r="H4" s="19" t="inlineStr">
        <is>
          <t>Phase Status</t>
        </is>
      </c>
    </row>
    <row r="5">
      <c r="A5" s="24" t="inlineStr">
        <is>
          <t>Year 1</t>
        </is>
      </c>
      <c r="B5" s="25" t="inlineStr">
        <is>
          <t>Months 01 - 12 (Dec 2025 - Nov 2026)</t>
        </is>
      </c>
      <c r="C5" s="44" t="n">
        <v>15000</v>
      </c>
      <c r="D5" s="26">
        <f>12*C5</f>
        <v/>
      </c>
      <c r="E5" s="26">
        <f>SUM('Utility Charges Ledger'!F15:F26)</f>
        <v/>
      </c>
      <c r="F5" s="26">
        <f>D5-E5</f>
        <v/>
      </c>
      <c r="G5" s="25">
        <f>COUNT('Utility Charges Ledger'!F15:F26) &amp; " / 12"</f>
        <v/>
      </c>
      <c r="H5" s="24">
        <f>"Active (" &amp; TEXT(12-COUNT('Utility Charges Ledger'!F15:F26),"0") &amp; " Remaining)"</f>
        <v/>
      </c>
    </row>
    <row r="6">
      <c r="A6" s="45" t="inlineStr">
        <is>
          <t>Year 2</t>
        </is>
      </c>
      <c r="B6" s="15" t="inlineStr">
        <is>
          <t>Months 13 - 24 (Dec 2026 - Nov 2027)</t>
        </is>
      </c>
      <c r="C6" s="46" t="n">
        <v>20000</v>
      </c>
      <c r="D6" s="47">
        <f>12*C6</f>
        <v/>
      </c>
      <c r="E6" s="47">
        <f>SUM('Utility Charges Ledger'!F27:F38)</f>
        <v/>
      </c>
      <c r="F6" s="47">
        <f>D6-E6</f>
        <v/>
      </c>
      <c r="G6" s="15">
        <f>COUNT('Utility Charges Ledger'!F27:F38) &amp; " / 12"</f>
        <v/>
      </c>
      <c r="H6" s="45">
        <f>"Upcoming"</f>
        <v/>
      </c>
    </row>
    <row r="7">
      <c r="A7" s="45" t="inlineStr">
        <is>
          <t>Year 3</t>
        </is>
      </c>
      <c r="B7" s="15" t="inlineStr">
        <is>
          <t>Months 25 - 36 (Dec 2027 - Nov 2028)</t>
        </is>
      </c>
      <c r="C7" s="46" t="n">
        <v>25000</v>
      </c>
      <c r="D7" s="47">
        <f>12*C7</f>
        <v/>
      </c>
      <c r="E7" s="47">
        <f>SUM('Utility Charges Ledger'!F39:F50)</f>
        <v/>
      </c>
      <c r="F7" s="47">
        <f>D7-E7</f>
        <v/>
      </c>
      <c r="G7" s="15">
        <f>COUNT('Utility Charges Ledger'!F39:F50) &amp; " / 12"</f>
        <v/>
      </c>
      <c r="H7" s="45">
        <f>"Upcoming"</f>
        <v/>
      </c>
    </row>
    <row r="8">
      <c r="A8" s="45" t="inlineStr">
        <is>
          <t>Final Payment</t>
        </is>
      </c>
      <c r="B8" s="15" t="inlineStr">
        <is>
          <t>Month 37 (Dec 2028)</t>
        </is>
      </c>
      <c r="C8" s="46" t="n">
        <v>230000</v>
      </c>
      <c r="D8" s="47">
        <f>1*C8</f>
        <v/>
      </c>
      <c r="E8" s="47">
        <f>SUM('Utility Charges Ledger'!F51)</f>
        <v/>
      </c>
      <c r="F8" s="47">
        <f>D8-E8</f>
        <v/>
      </c>
      <c r="G8" s="15">
        <f>COUNT('Utility Charges Ledger'!F51) &amp; " / 1"</f>
        <v/>
      </c>
      <c r="H8" s="45">
        <f>"Upcoming"</f>
        <v/>
      </c>
    </row>
    <row r="9">
      <c r="A9" s="41" t="inlineStr">
        <is>
          <t>GRAND TOTAL</t>
        </is>
      </c>
      <c r="B9" s="42" t="n"/>
      <c r="C9" s="41" t="inlineStr">
        <is>
          <t>-</t>
        </is>
      </c>
      <c r="D9" s="43">
        <f>SUM(D5:D8)</f>
        <v/>
      </c>
      <c r="E9" s="43">
        <f>SUM(E5:E8)</f>
        <v/>
      </c>
      <c r="F9" s="43">
        <f>SUM(F5:F8)</f>
        <v/>
      </c>
      <c r="G9" s="41">
        <f>COUNT('Utility Charges Ledger'!F15:F51) &amp; " / 37"</f>
        <v/>
      </c>
      <c r="H9" s="41">
        <f>TEXT(E9/D9, "0.00%") &amp; " Completed"</f>
        <v/>
      </c>
    </row>
    <row r="12">
      <c r="A12" s="3" t="inlineStr">
        <is>
          <t>UNDERTAKING &amp; PAYMENT TERMS SUMMARY</t>
        </is>
      </c>
    </row>
    <row r="13">
      <c r="A13" s="48" t="inlineStr">
        <is>
          <t>1. Original Demand: Rs. 1,200,000/- for Utility Installation Charges (K-Electric, SSGC, Water &amp; Sewerage).</t>
        </is>
      </c>
    </row>
    <row r="14">
      <c r="A14" s="48" t="inlineStr">
        <is>
          <t>2. Approved Discount: Rs. 250,000/- granted by Al Ghafoor Builder / Developer.</t>
        </is>
      </c>
    </row>
    <row r="15">
      <c r="A15" s="48" t="inlineStr">
        <is>
          <t>3. Agreed Settlement Amount: Rs. 950,000/- payable across 37 monthly installments (Nov 2025 Undertaking).</t>
        </is>
      </c>
    </row>
    <row r="16">
      <c r="A16" s="48" t="inlineStr">
        <is>
          <t>4. Year 1 (Months 1 to 12): Rs. 15,000 per month (Total: Rs. 180,000).</t>
        </is>
      </c>
    </row>
    <row r="17">
      <c r="A17" s="48" t="inlineStr">
        <is>
          <t>5. Year 2 (Months 13 to 24): Rs. 20,000 per month (Total: Rs. 240,000).</t>
        </is>
      </c>
    </row>
    <row r="18">
      <c r="A18" s="48" t="inlineStr">
        <is>
          <t>6. Year 3 (Months 25 to 36): Rs. 25,000 per month (Total: Rs. 300,000).</t>
        </is>
      </c>
    </row>
    <row r="19">
      <c r="A19" s="48" t="inlineStr">
        <is>
          <t>7. Month 37 (Final Payment): Rs. 230,000 lump sum settlement.</t>
        </is>
      </c>
    </row>
    <row r="20">
      <c r="A20" s="48" t="inlineStr">
        <is>
          <t>8. Receiving Entity: AL GHAFOOR TRADING CO (Bank Alfalah / Raast System).</t>
        </is>
      </c>
    </row>
  </sheetData>
  <mergeCells count="11">
    <mergeCell ref="A12:H12"/>
    <mergeCell ref="A18:H18"/>
    <mergeCell ref="A15:H15"/>
    <mergeCell ref="A20:H20"/>
    <mergeCell ref="A16:H16"/>
    <mergeCell ref="A13:H13"/>
    <mergeCell ref="A14:H14"/>
    <mergeCell ref="A19:H19"/>
    <mergeCell ref="A9:B9"/>
    <mergeCell ref="A1:H2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6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4" customWidth="1" min="4" max="4"/>
    <col width="34" customWidth="1" min="5" max="5"/>
    <col width="20" customWidth="1" min="6" max="6"/>
    <col width="24" customWidth="1" min="7" max="7"/>
    <col width="26" customWidth="1" min="8" max="8"/>
    <col width="20" customWidth="1" min="9" max="9"/>
    <col width="18" customWidth="1" min="10" max="10"/>
  </cols>
  <sheetData>
    <row r="1">
      <c r="A1" s="1" t="inlineStr">
        <is>
          <t>AL GHAFOOR TOWERS &amp; MALL - HISTORICAL FLAT PAYMENT LEDGER (2022 - 2025)</t>
        </is>
      </c>
    </row>
    <row r="2"/>
    <row r="3">
      <c r="A3" s="49" t="inlineStr">
        <is>
          <t>Original Schedule &amp; Loan Installments (100 Transactions) | Total Cost: PKR 2,174,000 | Received: PKR 1,958,000</t>
        </is>
      </c>
    </row>
    <row r="5">
      <c r="B5" s="50" t="inlineStr">
        <is>
          <t>HISTORICAL CONTRACT BREAKDOWN</t>
        </is>
      </c>
    </row>
    <row r="6">
      <c r="B6" s="4" t="inlineStr">
        <is>
          <t>Client Name</t>
        </is>
      </c>
      <c r="C6" s="13" t="inlineStr">
        <is>
          <t>Muhammad Sikandar</t>
        </is>
      </c>
      <c r="D6" s="6" t="n"/>
      <c r="E6" s="6" t="n"/>
    </row>
    <row r="7">
      <c r="B7" s="4" t="inlineStr">
        <is>
          <t>File Number</t>
        </is>
      </c>
      <c r="C7" s="13" t="inlineStr">
        <is>
          <t>ATM-14A-206-2</t>
        </is>
      </c>
      <c r="D7" s="6" t="n"/>
      <c r="E7" s="6" t="n"/>
    </row>
    <row r="8">
      <c r="B8" s="4" t="inlineStr">
        <is>
          <t>Unit / Type</t>
        </is>
      </c>
      <c r="C8" s="13" t="inlineStr">
        <is>
          <t>Unit 206 (Apartments)</t>
        </is>
      </c>
      <c r="D8" s="6" t="n"/>
      <c r="E8" s="6" t="n"/>
    </row>
    <row r="9">
      <c r="B9" s="4" t="inlineStr">
        <is>
          <t>Total Cost of Flat</t>
        </is>
      </c>
      <c r="C9" s="47" t="n">
        <v>2174000</v>
      </c>
      <c r="D9" s="6" t="n"/>
      <c r="E9" s="6" t="n"/>
    </row>
    <row r="10">
      <c r="B10" s="4" t="inlineStr">
        <is>
          <t>Schedule Amount</t>
        </is>
      </c>
      <c r="C10" s="47" t="n">
        <v>1449000</v>
      </c>
      <c r="D10" s="6" t="n"/>
      <c r="E10" s="6" t="n"/>
    </row>
    <row r="11">
      <c r="B11" s="4" t="inlineStr">
        <is>
          <t>Loan Component</t>
        </is>
      </c>
      <c r="C11" s="47" t="n">
        <v>725000</v>
      </c>
      <c r="D11" s="6" t="n"/>
      <c r="E11" s="6" t="n"/>
    </row>
    <row r="12">
      <c r="B12" s="4" t="inlineStr">
        <is>
          <t>Total Received (Ledger)</t>
        </is>
      </c>
      <c r="C12" s="47" t="n">
        <v>1958000</v>
      </c>
      <c r="D12" s="6" t="n"/>
      <c r="E12" s="6" t="n"/>
    </row>
    <row r="13">
      <c r="B13" s="4" t="inlineStr">
        <is>
          <t>Closing Ledger Balance</t>
        </is>
      </c>
      <c r="C13" s="47" t="n">
        <v>216000</v>
      </c>
      <c r="D13" s="6" t="n"/>
      <c r="E13" s="6" t="n"/>
    </row>
    <row r="15">
      <c r="A15" s="12" t="inlineStr">
        <is>
          <t>Tx #</t>
        </is>
      </c>
      <c r="B15" s="12" t="inlineStr">
        <is>
          <t>Date</t>
        </is>
      </c>
      <c r="C15" s="12" t="inlineStr">
        <is>
          <t>Payment Method</t>
        </is>
      </c>
      <c r="D15" s="12" t="inlineStr">
        <is>
          <t>Status</t>
        </is>
      </c>
      <c r="E15" s="12" t="inlineStr">
        <is>
          <t>Payment Description / Category</t>
        </is>
      </c>
      <c r="F15" s="12" t="inlineStr">
        <is>
          <t>Amount Paid (PKR)</t>
        </is>
      </c>
      <c r="G15" s="12" t="inlineStr">
        <is>
          <t>Cumulative Received (PKR)</t>
        </is>
      </c>
      <c r="H15" s="12" t="inlineStr">
        <is>
          <t>Remaining Flat Balance (PKR)</t>
        </is>
      </c>
      <c r="I15" s="12" t="inlineStr">
        <is>
          <t>Cheque / Ref No</t>
        </is>
      </c>
      <c r="J15" s="12" t="inlineStr">
        <is>
          <t>Official Receipt #</t>
        </is>
      </c>
    </row>
    <row r="16">
      <c r="A16" s="36" t="n">
        <v>1</v>
      </c>
      <c r="B16" s="37" t="inlineStr">
        <is>
          <t>27/04/2022</t>
        </is>
      </c>
      <c r="C16" s="37" t="inlineStr">
        <is>
          <t>Cash</t>
        </is>
      </c>
      <c r="D16" s="37" t="inlineStr">
        <is>
          <t>Cleared</t>
        </is>
      </c>
      <c r="E16" s="40" t="inlineStr">
        <is>
          <t>On Booking</t>
        </is>
      </c>
      <c r="F16" s="38" t="n">
        <v>50000</v>
      </c>
      <c r="G16" s="38">
        <f>SUM(F$16:F16)</f>
        <v/>
      </c>
      <c r="H16" s="38">
        <f>2174000-G16</f>
        <v/>
      </c>
      <c r="I16" s="37" t="inlineStr">
        <is>
          <t>N/A</t>
        </is>
      </c>
      <c r="J16" s="37" t="inlineStr">
        <is>
          <t>1730</t>
        </is>
      </c>
    </row>
    <row r="17">
      <c r="A17" s="31" t="n">
        <v>2</v>
      </c>
      <c r="B17" s="32" t="inlineStr">
        <is>
          <t>26/05/2022</t>
        </is>
      </c>
      <c r="C17" s="32" t="inlineStr">
        <is>
          <t>Cash</t>
        </is>
      </c>
      <c r="D17" s="32" t="inlineStr">
        <is>
          <t>Cleared</t>
        </is>
      </c>
      <c r="E17" s="35" t="inlineStr">
        <is>
          <t>Monthly Installments No. 1</t>
        </is>
      </c>
      <c r="F17" s="33" t="n">
        <v>8000</v>
      </c>
      <c r="G17" s="33">
        <f>SUM(F$16:F17)</f>
        <v/>
      </c>
      <c r="H17" s="33">
        <f>2174000-G17</f>
        <v/>
      </c>
      <c r="I17" s="32" t="inlineStr">
        <is>
          <t>N/A</t>
        </is>
      </c>
      <c r="J17" s="32" t="inlineStr">
        <is>
          <t>2021</t>
        </is>
      </c>
    </row>
    <row r="18">
      <c r="A18" s="36" t="n">
        <v>3</v>
      </c>
      <c r="B18" s="37" t="inlineStr">
        <is>
          <t>26/05/2022</t>
        </is>
      </c>
      <c r="C18" s="37" t="inlineStr">
        <is>
          <t>Cash</t>
        </is>
      </c>
      <c r="D18" s="37" t="inlineStr">
        <is>
          <t>Cleared</t>
        </is>
      </c>
      <c r="E18" s="40" t="inlineStr">
        <is>
          <t>On Confirmation</t>
        </is>
      </c>
      <c r="F18" s="38" t="n">
        <v>50000</v>
      </c>
      <c r="G18" s="38">
        <f>SUM(F$16:F18)</f>
        <v/>
      </c>
      <c r="H18" s="38">
        <f>2174000-G18</f>
        <v/>
      </c>
      <c r="I18" s="37" t="inlineStr">
        <is>
          <t>N/A</t>
        </is>
      </c>
      <c r="J18" s="37" t="inlineStr">
        <is>
          <t>2021</t>
        </is>
      </c>
    </row>
    <row r="19">
      <c r="A19" s="31" t="n">
        <v>4</v>
      </c>
      <c r="B19" s="32" t="inlineStr">
        <is>
          <t>26/05/2022</t>
        </is>
      </c>
      <c r="C19" s="32" t="inlineStr">
        <is>
          <t>Cash</t>
        </is>
      </c>
      <c r="D19" s="32" t="inlineStr">
        <is>
          <t>Cleared</t>
        </is>
      </c>
      <c r="E19" s="35" t="inlineStr">
        <is>
          <t>Monthly Installments No. 3</t>
        </is>
      </c>
      <c r="F19" s="33" t="n">
        <v>2000</v>
      </c>
      <c r="G19" s="33">
        <f>SUM(F$16:F19)</f>
        <v/>
      </c>
      <c r="H19" s="33">
        <f>2174000-G19</f>
        <v/>
      </c>
      <c r="I19" s="32" t="inlineStr">
        <is>
          <t>N/A</t>
        </is>
      </c>
      <c r="J19" s="32" t="inlineStr">
        <is>
          <t>2021</t>
        </is>
      </c>
    </row>
    <row r="20">
      <c r="A20" s="36" t="n">
        <v>5</v>
      </c>
      <c r="B20" s="37" t="inlineStr">
        <is>
          <t>26/05/2022</t>
        </is>
      </c>
      <c r="C20" s="37" t="inlineStr">
        <is>
          <t>Cash</t>
        </is>
      </c>
      <c r="D20" s="37" t="inlineStr">
        <is>
          <t>Cleared</t>
        </is>
      </c>
      <c r="E20" s="40" t="inlineStr">
        <is>
          <t>Monthly Installments No. 2</t>
        </is>
      </c>
      <c r="F20" s="38" t="n">
        <v>8000</v>
      </c>
      <c r="G20" s="38">
        <f>SUM(F$16:F20)</f>
        <v/>
      </c>
      <c r="H20" s="38">
        <f>2174000-G20</f>
        <v/>
      </c>
      <c r="I20" s="37" t="inlineStr">
        <is>
          <t>N/A</t>
        </is>
      </c>
      <c r="J20" s="37" t="inlineStr">
        <is>
          <t>2021</t>
        </is>
      </c>
    </row>
    <row r="21">
      <c r="A21" s="31" t="n">
        <v>6</v>
      </c>
      <c r="B21" s="32" t="inlineStr">
        <is>
          <t>26/06/2022</t>
        </is>
      </c>
      <c r="C21" s="32" t="inlineStr">
        <is>
          <t>Cash</t>
        </is>
      </c>
      <c r="D21" s="32" t="inlineStr">
        <is>
          <t>Cleared</t>
        </is>
      </c>
      <c r="E21" s="35" t="inlineStr">
        <is>
          <t>On Allocation</t>
        </is>
      </c>
      <c r="F21" s="33" t="n">
        <v>50000</v>
      </c>
      <c r="G21" s="33">
        <f>SUM(F$16:F21)</f>
        <v/>
      </c>
      <c r="H21" s="33">
        <f>2174000-G21</f>
        <v/>
      </c>
      <c r="I21" s="32" t="inlineStr">
        <is>
          <t>N/A</t>
        </is>
      </c>
      <c r="J21" s="32" t="inlineStr">
        <is>
          <t>2396</t>
        </is>
      </c>
    </row>
    <row r="22">
      <c r="A22" s="36" t="n">
        <v>7</v>
      </c>
      <c r="B22" s="37" t="inlineStr">
        <is>
          <t>26/06/2022</t>
        </is>
      </c>
      <c r="C22" s="37" t="inlineStr">
        <is>
          <t>Cash</t>
        </is>
      </c>
      <c r="D22" s="37" t="inlineStr">
        <is>
          <t>Cleared</t>
        </is>
      </c>
      <c r="E22" s="40" t="inlineStr">
        <is>
          <t>Monthly Installments No. 3</t>
        </is>
      </c>
      <c r="F22" s="38" t="n">
        <v>6000</v>
      </c>
      <c r="G22" s="38">
        <f>SUM(F$16:F22)</f>
        <v/>
      </c>
      <c r="H22" s="38">
        <f>2174000-G22</f>
        <v/>
      </c>
      <c r="I22" s="37" t="inlineStr">
        <is>
          <t>N/A</t>
        </is>
      </c>
      <c r="J22" s="37" t="inlineStr">
        <is>
          <t>2396</t>
        </is>
      </c>
    </row>
    <row r="23">
      <c r="A23" s="31" t="n">
        <v>8</v>
      </c>
      <c r="B23" s="32" t="inlineStr">
        <is>
          <t>28/07/2022</t>
        </is>
      </c>
      <c r="C23" s="32" t="inlineStr">
        <is>
          <t>Cash</t>
        </is>
      </c>
      <c r="D23" s="32" t="inlineStr">
        <is>
          <t>Cleared</t>
        </is>
      </c>
      <c r="E23" s="35" t="inlineStr">
        <is>
          <t>Quarterly Payments No. 1</t>
        </is>
      </c>
      <c r="F23" s="33" t="n">
        <v>30000</v>
      </c>
      <c r="G23" s="33">
        <f>SUM(F$16:F23)</f>
        <v/>
      </c>
      <c r="H23" s="33">
        <f>2174000-G23</f>
        <v/>
      </c>
      <c r="I23" s="32" t="inlineStr">
        <is>
          <t>N/A</t>
        </is>
      </c>
      <c r="J23" s="32" t="inlineStr">
        <is>
          <t>2706</t>
        </is>
      </c>
    </row>
    <row r="24">
      <c r="A24" s="36" t="n">
        <v>9</v>
      </c>
      <c r="B24" s="37" t="inlineStr">
        <is>
          <t>28/07/2022</t>
        </is>
      </c>
      <c r="C24" s="37" t="inlineStr">
        <is>
          <t>Cash</t>
        </is>
      </c>
      <c r="D24" s="37" t="inlineStr">
        <is>
          <t>Cleared</t>
        </is>
      </c>
      <c r="E24" s="40" t="inlineStr">
        <is>
          <t>On Plinth</t>
        </is>
      </c>
      <c r="F24" s="38" t="n">
        <v>65000</v>
      </c>
      <c r="G24" s="38">
        <f>SUM(F$16:F24)</f>
        <v/>
      </c>
      <c r="H24" s="38">
        <f>2174000-G24</f>
        <v/>
      </c>
      <c r="I24" s="37" t="inlineStr">
        <is>
          <t>N/A</t>
        </is>
      </c>
      <c r="J24" s="37" t="inlineStr">
        <is>
          <t>2706</t>
        </is>
      </c>
    </row>
    <row r="25">
      <c r="A25" s="31" t="n">
        <v>10</v>
      </c>
      <c r="B25" s="32" t="inlineStr">
        <is>
          <t>28/07/2022</t>
        </is>
      </c>
      <c r="C25" s="32" t="inlineStr">
        <is>
          <t>Cash</t>
        </is>
      </c>
      <c r="D25" s="32" t="inlineStr">
        <is>
          <t>Cleared</t>
        </is>
      </c>
      <c r="E25" s="35" t="inlineStr">
        <is>
          <t>Monthly Installments No. 4</t>
        </is>
      </c>
      <c r="F25" s="33" t="n">
        <v>8000</v>
      </c>
      <c r="G25" s="33">
        <f>SUM(F$16:F25)</f>
        <v/>
      </c>
      <c r="H25" s="33">
        <f>2174000-G25</f>
        <v/>
      </c>
      <c r="I25" s="32" t="inlineStr">
        <is>
          <t>N/A</t>
        </is>
      </c>
      <c r="J25" s="32" t="inlineStr">
        <is>
          <t>2706</t>
        </is>
      </c>
    </row>
    <row r="26">
      <c r="A26" s="36" t="n">
        <v>11</v>
      </c>
      <c r="B26" s="37" t="inlineStr">
        <is>
          <t>18/08/2022</t>
        </is>
      </c>
      <c r="C26" s="37" t="inlineStr">
        <is>
          <t>Cash</t>
        </is>
      </c>
      <c r="D26" s="37" t="inlineStr">
        <is>
          <t>Cleared</t>
        </is>
      </c>
      <c r="E26" s="40" t="inlineStr">
        <is>
          <t>On Start of Work</t>
        </is>
      </c>
      <c r="F26" s="38" t="n">
        <v>50000</v>
      </c>
      <c r="G26" s="38">
        <f>SUM(F$16:F26)</f>
        <v/>
      </c>
      <c r="H26" s="38">
        <f>2174000-G26</f>
        <v/>
      </c>
      <c r="I26" s="37" t="inlineStr">
        <is>
          <t>N/A</t>
        </is>
      </c>
      <c r="J26" s="37" t="inlineStr">
        <is>
          <t>2935</t>
        </is>
      </c>
    </row>
    <row r="27">
      <c r="A27" s="31" t="n">
        <v>12</v>
      </c>
      <c r="B27" s="32" t="inlineStr">
        <is>
          <t>06/09/2022</t>
        </is>
      </c>
      <c r="C27" s="32" t="inlineStr">
        <is>
          <t>Cash</t>
        </is>
      </c>
      <c r="D27" s="32" t="inlineStr">
        <is>
          <t>Cleared</t>
        </is>
      </c>
      <c r="E27" s="35" t="inlineStr">
        <is>
          <t>Monthly Installments No. 5</t>
        </is>
      </c>
      <c r="F27" s="33" t="n">
        <v>8000</v>
      </c>
      <c r="G27" s="33">
        <f>SUM(F$16:F27)</f>
        <v/>
      </c>
      <c r="H27" s="33">
        <f>2174000-G27</f>
        <v/>
      </c>
      <c r="I27" s="32" t="inlineStr">
        <is>
          <t>N/A</t>
        </is>
      </c>
      <c r="J27" s="32" t="inlineStr">
        <is>
          <t>3146</t>
        </is>
      </c>
    </row>
    <row r="28">
      <c r="A28" s="36" t="n">
        <v>13</v>
      </c>
      <c r="B28" s="37" t="inlineStr">
        <is>
          <t>19/10/2022</t>
        </is>
      </c>
      <c r="C28" s="37" t="inlineStr">
        <is>
          <t>Cash</t>
        </is>
      </c>
      <c r="D28" s="37" t="inlineStr">
        <is>
          <t>Cleared</t>
        </is>
      </c>
      <c r="E28" s="40" t="inlineStr">
        <is>
          <t>Monthly Installments No. 6</t>
        </is>
      </c>
      <c r="F28" s="38" t="n">
        <v>8000</v>
      </c>
      <c r="G28" s="38">
        <f>SUM(F$16:F28)</f>
        <v/>
      </c>
      <c r="H28" s="38">
        <f>2174000-G28</f>
        <v/>
      </c>
      <c r="I28" s="37" t="inlineStr">
        <is>
          <t>N/A</t>
        </is>
      </c>
      <c r="J28" s="37" t="inlineStr">
        <is>
          <t>3568</t>
        </is>
      </c>
    </row>
    <row r="29">
      <c r="A29" s="31" t="n">
        <v>14</v>
      </c>
      <c r="B29" s="32" t="inlineStr">
        <is>
          <t>19/10/2022</t>
        </is>
      </c>
      <c r="C29" s="32" t="inlineStr">
        <is>
          <t>Cash</t>
        </is>
      </c>
      <c r="D29" s="32" t="inlineStr">
        <is>
          <t>Cleared</t>
        </is>
      </c>
      <c r="E29" s="35" t="inlineStr">
        <is>
          <t>Quarterly Payments No. 2</t>
        </is>
      </c>
      <c r="F29" s="33" t="n">
        <v>30000</v>
      </c>
      <c r="G29" s="33">
        <f>SUM(F$16:F29)</f>
        <v/>
      </c>
      <c r="H29" s="33">
        <f>2174000-G29</f>
        <v/>
      </c>
      <c r="I29" s="32" t="inlineStr">
        <is>
          <t>N/A</t>
        </is>
      </c>
      <c r="J29" s="32" t="inlineStr">
        <is>
          <t>3568</t>
        </is>
      </c>
    </row>
    <row r="30">
      <c r="A30" s="36" t="n">
        <v>15</v>
      </c>
      <c r="B30" s="37" t="inlineStr">
        <is>
          <t>14/11/2022</t>
        </is>
      </c>
      <c r="C30" s="37" t="inlineStr">
        <is>
          <t>Cash</t>
        </is>
      </c>
      <c r="D30" s="37" t="inlineStr">
        <is>
          <t>Cleared</t>
        </is>
      </c>
      <c r="E30" s="40" t="inlineStr">
        <is>
          <t>Monthly Installments No. 7</t>
        </is>
      </c>
      <c r="F30" s="38" t="n">
        <v>8000</v>
      </c>
      <c r="G30" s="38">
        <f>SUM(F$16:F30)</f>
        <v/>
      </c>
      <c r="H30" s="38">
        <f>2174000-G30</f>
        <v/>
      </c>
      <c r="I30" s="37" t="inlineStr">
        <is>
          <t>N/A</t>
        </is>
      </c>
      <c r="J30" s="37" t="inlineStr">
        <is>
          <t>3821</t>
        </is>
      </c>
    </row>
    <row r="31">
      <c r="A31" s="31" t="n">
        <v>16</v>
      </c>
      <c r="B31" s="32" t="inlineStr">
        <is>
          <t>13/12/2022</t>
        </is>
      </c>
      <c r="C31" s="32" t="inlineStr">
        <is>
          <t>Cash</t>
        </is>
      </c>
      <c r="D31" s="32" t="inlineStr">
        <is>
          <t>Cleared</t>
        </is>
      </c>
      <c r="E31" s="35" t="inlineStr">
        <is>
          <t>Loan Installment No. 1</t>
        </is>
      </c>
      <c r="F31" s="33" t="n">
        <v>29000</v>
      </c>
      <c r="G31" s="33">
        <f>SUM(F$16:F31)</f>
        <v/>
      </c>
      <c r="H31" s="33">
        <f>2174000-G31</f>
        <v/>
      </c>
      <c r="I31" s="32" t="inlineStr">
        <is>
          <t>N/A</t>
        </is>
      </c>
      <c r="J31" s="32" t="inlineStr">
        <is>
          <t>4144</t>
        </is>
      </c>
    </row>
    <row r="32">
      <c r="A32" s="36" t="n">
        <v>17</v>
      </c>
      <c r="B32" s="37" t="inlineStr">
        <is>
          <t>13/12/2022</t>
        </is>
      </c>
      <c r="C32" s="37" t="inlineStr">
        <is>
          <t>Cash</t>
        </is>
      </c>
      <c r="D32" s="37" t="inlineStr">
        <is>
          <t>Cleared</t>
        </is>
      </c>
      <c r="E32" s="40" t="inlineStr">
        <is>
          <t>Monthly Installments No. 8</t>
        </is>
      </c>
      <c r="F32" s="38" t="n">
        <v>8000</v>
      </c>
      <c r="G32" s="38">
        <f>SUM(F$16:F32)</f>
        <v/>
      </c>
      <c r="H32" s="38">
        <f>2174000-G32</f>
        <v/>
      </c>
      <c r="I32" s="37" t="inlineStr">
        <is>
          <t>N/A</t>
        </is>
      </c>
      <c r="J32" s="37" t="inlineStr">
        <is>
          <t>4144</t>
        </is>
      </c>
    </row>
    <row r="33">
      <c r="A33" s="31" t="n">
        <v>18</v>
      </c>
      <c r="B33" s="32" t="inlineStr">
        <is>
          <t>07/01/2023</t>
        </is>
      </c>
      <c r="C33" s="32" t="inlineStr">
        <is>
          <t>Cash</t>
        </is>
      </c>
      <c r="D33" s="32" t="inlineStr">
        <is>
          <t>Cleared</t>
        </is>
      </c>
      <c r="E33" s="35" t="inlineStr">
        <is>
          <t>Quarterly Payments No. 3</t>
        </is>
      </c>
      <c r="F33" s="33" t="n">
        <v>30000</v>
      </c>
      <c r="G33" s="33">
        <f>SUM(F$16:F33)</f>
        <v/>
      </c>
      <c r="H33" s="33">
        <f>2174000-G33</f>
        <v/>
      </c>
      <c r="I33" s="32" t="inlineStr">
        <is>
          <t>N/A</t>
        </is>
      </c>
      <c r="J33" s="32" t="inlineStr">
        <is>
          <t>4399</t>
        </is>
      </c>
    </row>
    <row r="34">
      <c r="A34" s="36" t="n">
        <v>19</v>
      </c>
      <c r="B34" s="37" t="inlineStr">
        <is>
          <t>07/01/2023</t>
        </is>
      </c>
      <c r="C34" s="37" t="inlineStr">
        <is>
          <t>Cash</t>
        </is>
      </c>
      <c r="D34" s="37" t="inlineStr">
        <is>
          <t>Cleared</t>
        </is>
      </c>
      <c r="E34" s="40" t="inlineStr">
        <is>
          <t>Monthly Installments No. 9</t>
        </is>
      </c>
      <c r="F34" s="38" t="n">
        <v>8000</v>
      </c>
      <c r="G34" s="38">
        <f>SUM(F$16:F34)</f>
        <v/>
      </c>
      <c r="H34" s="38">
        <f>2174000-G34</f>
        <v/>
      </c>
      <c r="I34" s="37" t="inlineStr">
        <is>
          <t>N/A</t>
        </is>
      </c>
      <c r="J34" s="37" t="inlineStr">
        <is>
          <t>4399</t>
        </is>
      </c>
    </row>
    <row r="35">
      <c r="A35" s="31" t="n">
        <v>20</v>
      </c>
      <c r="B35" s="32" t="inlineStr">
        <is>
          <t>07/01/2023</t>
        </is>
      </c>
      <c r="C35" s="32" t="inlineStr">
        <is>
          <t>Cash</t>
        </is>
      </c>
      <c r="D35" s="32" t="inlineStr">
        <is>
          <t>Cleared</t>
        </is>
      </c>
      <c r="E35" s="35" t="inlineStr">
        <is>
          <t>Loan Installment No. 2</t>
        </is>
      </c>
      <c r="F35" s="33" t="n">
        <v>29000</v>
      </c>
      <c r="G35" s="33">
        <f>SUM(F$16:F35)</f>
        <v/>
      </c>
      <c r="H35" s="33">
        <f>2174000-G35</f>
        <v/>
      </c>
      <c r="I35" s="32" t="inlineStr">
        <is>
          <t>N/A</t>
        </is>
      </c>
      <c r="J35" s="32" t="inlineStr">
        <is>
          <t>4399</t>
        </is>
      </c>
    </row>
    <row r="36">
      <c r="A36" s="36" t="n">
        <v>21</v>
      </c>
      <c r="B36" s="37" t="inlineStr">
        <is>
          <t>12/02/2023</t>
        </is>
      </c>
      <c r="C36" s="37" t="inlineStr">
        <is>
          <t>Cash</t>
        </is>
      </c>
      <c r="D36" s="37" t="inlineStr">
        <is>
          <t>Cleared</t>
        </is>
      </c>
      <c r="E36" s="40" t="inlineStr">
        <is>
          <t>Monthly Installments No. 10</t>
        </is>
      </c>
      <c r="F36" s="38" t="n">
        <v>8000</v>
      </c>
      <c r="G36" s="38">
        <f>SUM(F$16:F36)</f>
        <v/>
      </c>
      <c r="H36" s="38">
        <f>2174000-G36</f>
        <v/>
      </c>
      <c r="I36" s="37" t="inlineStr">
        <is>
          <t>N/A</t>
        </is>
      </c>
      <c r="J36" s="37" t="inlineStr">
        <is>
          <t>4724</t>
        </is>
      </c>
    </row>
    <row r="37">
      <c r="A37" s="31" t="n">
        <v>22</v>
      </c>
      <c r="B37" s="32" t="inlineStr">
        <is>
          <t>12/02/2023</t>
        </is>
      </c>
      <c r="C37" s="32" t="inlineStr">
        <is>
          <t>Cash</t>
        </is>
      </c>
      <c r="D37" s="32" t="inlineStr">
        <is>
          <t>Cleared</t>
        </is>
      </c>
      <c r="E37" s="35" t="inlineStr">
        <is>
          <t>On Slab Casting No. 1</t>
        </is>
      </c>
      <c r="F37" s="33" t="n">
        <v>50000</v>
      </c>
      <c r="G37" s="33">
        <f>SUM(F$16:F37)</f>
        <v/>
      </c>
      <c r="H37" s="33">
        <f>2174000-G37</f>
        <v/>
      </c>
      <c r="I37" s="32" t="inlineStr">
        <is>
          <t>N/A</t>
        </is>
      </c>
      <c r="J37" s="32" t="inlineStr">
        <is>
          <t>4724</t>
        </is>
      </c>
    </row>
    <row r="38">
      <c r="A38" s="36" t="n">
        <v>23</v>
      </c>
      <c r="B38" s="37" t="inlineStr">
        <is>
          <t>12/02/2023</t>
        </is>
      </c>
      <c r="C38" s="37" t="inlineStr">
        <is>
          <t>Cash</t>
        </is>
      </c>
      <c r="D38" s="37" t="inlineStr">
        <is>
          <t>Cleared</t>
        </is>
      </c>
      <c r="E38" s="40" t="inlineStr">
        <is>
          <t>Loan Installment No. 3</t>
        </is>
      </c>
      <c r="F38" s="38" t="n">
        <v>29000</v>
      </c>
      <c r="G38" s="38">
        <f>SUM(F$16:F38)</f>
        <v/>
      </c>
      <c r="H38" s="38">
        <f>2174000-G38</f>
        <v/>
      </c>
      <c r="I38" s="37" t="inlineStr">
        <is>
          <t>N/A</t>
        </is>
      </c>
      <c r="J38" s="37" t="inlineStr">
        <is>
          <t>4724</t>
        </is>
      </c>
    </row>
    <row r="39">
      <c r="A39" s="31" t="n">
        <v>24</v>
      </c>
      <c r="B39" s="32" t="inlineStr">
        <is>
          <t>13/03/2023</t>
        </is>
      </c>
      <c r="C39" s="32" t="inlineStr">
        <is>
          <t>Cash</t>
        </is>
      </c>
      <c r="D39" s="32" t="inlineStr">
        <is>
          <t>Cleared</t>
        </is>
      </c>
      <c r="E39" s="35" t="inlineStr">
        <is>
          <t>Advance Loan Installment</t>
        </is>
      </c>
      <c r="F39" s="33" t="n">
        <v>29000</v>
      </c>
      <c r="G39" s="33">
        <f>SUM(F$16:F39)</f>
        <v/>
      </c>
      <c r="H39" s="33">
        <f>2174000-G39</f>
        <v/>
      </c>
      <c r="I39" s="32" t="inlineStr">
        <is>
          <t>N/A</t>
        </is>
      </c>
      <c r="J39" s="32" t="inlineStr">
        <is>
          <t>5032</t>
        </is>
      </c>
    </row>
    <row r="40">
      <c r="A40" s="36" t="n">
        <v>25</v>
      </c>
      <c r="B40" s="37" t="inlineStr">
        <is>
          <t>13/03/2023</t>
        </is>
      </c>
      <c r="C40" s="37" t="inlineStr">
        <is>
          <t>Cash</t>
        </is>
      </c>
      <c r="D40" s="37" t="inlineStr">
        <is>
          <t>Cleared</t>
        </is>
      </c>
      <c r="E40" s="40" t="inlineStr">
        <is>
          <t>Monthly Installments No. 11</t>
        </is>
      </c>
      <c r="F40" s="38" t="n">
        <v>8000</v>
      </c>
      <c r="G40" s="38">
        <f>SUM(F$16:F40)</f>
        <v/>
      </c>
      <c r="H40" s="38">
        <f>2174000-G40</f>
        <v/>
      </c>
      <c r="I40" s="37" t="inlineStr">
        <is>
          <t>N/A</t>
        </is>
      </c>
      <c r="J40" s="37" t="inlineStr">
        <is>
          <t>5032</t>
        </is>
      </c>
    </row>
    <row r="41">
      <c r="A41" s="31" t="n">
        <v>26</v>
      </c>
      <c r="B41" s="32" t="inlineStr">
        <is>
          <t>04/04/2023</t>
        </is>
      </c>
      <c r="C41" s="32" t="inlineStr">
        <is>
          <t>Cash</t>
        </is>
      </c>
      <c r="D41" s="32" t="inlineStr">
        <is>
          <t>Cleared</t>
        </is>
      </c>
      <c r="E41" s="35" t="inlineStr">
        <is>
          <t>Quarterly Payments No. 4</t>
        </is>
      </c>
      <c r="F41" s="33" t="n">
        <v>30000</v>
      </c>
      <c r="G41" s="33">
        <f>SUM(F$16:F41)</f>
        <v/>
      </c>
      <c r="H41" s="33">
        <f>2174000-G41</f>
        <v/>
      </c>
      <c r="I41" s="32" t="inlineStr">
        <is>
          <t>N/A</t>
        </is>
      </c>
      <c r="J41" s="32" t="inlineStr">
        <is>
          <t>5226</t>
        </is>
      </c>
    </row>
    <row r="42">
      <c r="A42" s="36" t="n">
        <v>27</v>
      </c>
      <c r="B42" s="37" t="inlineStr">
        <is>
          <t>04/04/2023</t>
        </is>
      </c>
      <c r="C42" s="37" t="inlineStr">
        <is>
          <t>Cash</t>
        </is>
      </c>
      <c r="D42" s="37" t="inlineStr">
        <is>
          <t>Cleared</t>
        </is>
      </c>
      <c r="E42" s="40" t="inlineStr">
        <is>
          <t>Loan Installment No. 4</t>
        </is>
      </c>
      <c r="F42" s="38" t="n">
        <v>29000</v>
      </c>
      <c r="G42" s="38">
        <f>SUM(F$16:F42)</f>
        <v/>
      </c>
      <c r="H42" s="38">
        <f>2174000-G42</f>
        <v/>
      </c>
      <c r="I42" s="37" t="inlineStr">
        <is>
          <t>N/A</t>
        </is>
      </c>
      <c r="J42" s="37" t="inlineStr">
        <is>
          <t>5226</t>
        </is>
      </c>
    </row>
    <row r="43">
      <c r="A43" s="31" t="n">
        <v>28</v>
      </c>
      <c r="B43" s="32" t="inlineStr">
        <is>
          <t>04/04/2023</t>
        </is>
      </c>
      <c r="C43" s="32" t="inlineStr">
        <is>
          <t>Cash</t>
        </is>
      </c>
      <c r="D43" s="32" t="inlineStr">
        <is>
          <t>Cleared</t>
        </is>
      </c>
      <c r="E43" s="35" t="inlineStr">
        <is>
          <t>Monthly Installments No. 12</t>
        </is>
      </c>
      <c r="F43" s="33" t="n">
        <v>8000</v>
      </c>
      <c r="G43" s="33">
        <f>SUM(F$16:F43)</f>
        <v/>
      </c>
      <c r="H43" s="33">
        <f>2174000-G43</f>
        <v/>
      </c>
      <c r="I43" s="32" t="inlineStr">
        <is>
          <t>N/A</t>
        </is>
      </c>
      <c r="J43" s="32" t="inlineStr">
        <is>
          <t>5226</t>
        </is>
      </c>
    </row>
    <row r="44">
      <c r="A44" s="36" t="n">
        <v>29</v>
      </c>
      <c r="B44" s="37" t="inlineStr">
        <is>
          <t>06/05/2023</t>
        </is>
      </c>
      <c r="C44" s="37" t="inlineStr">
        <is>
          <t>Cash</t>
        </is>
      </c>
      <c r="D44" s="37" t="inlineStr">
        <is>
          <t>Cleared</t>
        </is>
      </c>
      <c r="E44" s="40" t="inlineStr">
        <is>
          <t>Loan Installment No. 5</t>
        </is>
      </c>
      <c r="F44" s="38" t="n">
        <v>29000</v>
      </c>
      <c r="G44" s="38">
        <f>SUM(F$16:F44)</f>
        <v/>
      </c>
      <c r="H44" s="38">
        <f>2174000-G44</f>
        <v/>
      </c>
      <c r="I44" s="37" t="inlineStr">
        <is>
          <t>N/A</t>
        </is>
      </c>
      <c r="J44" s="37" t="inlineStr">
        <is>
          <t>5472</t>
        </is>
      </c>
    </row>
    <row r="45">
      <c r="A45" s="31" t="n">
        <v>30</v>
      </c>
      <c r="B45" s="32" t="inlineStr">
        <is>
          <t>06/05/2023</t>
        </is>
      </c>
      <c r="C45" s="32" t="inlineStr">
        <is>
          <t>Cash</t>
        </is>
      </c>
      <c r="D45" s="32" t="inlineStr">
        <is>
          <t>Cleared</t>
        </is>
      </c>
      <c r="E45" s="35" t="inlineStr">
        <is>
          <t>Monthly Installments No. 13</t>
        </is>
      </c>
      <c r="F45" s="33" t="n">
        <v>8000</v>
      </c>
      <c r="G45" s="33">
        <f>SUM(F$16:F45)</f>
        <v/>
      </c>
      <c r="H45" s="33">
        <f>2174000-G45</f>
        <v/>
      </c>
      <c r="I45" s="32" t="inlineStr">
        <is>
          <t>N/A</t>
        </is>
      </c>
      <c r="J45" s="32" t="inlineStr">
        <is>
          <t>5472</t>
        </is>
      </c>
    </row>
    <row r="46">
      <c r="A46" s="36" t="n">
        <v>31</v>
      </c>
      <c r="B46" s="37" t="inlineStr">
        <is>
          <t>08/06/2023</t>
        </is>
      </c>
      <c r="C46" s="37" t="inlineStr">
        <is>
          <t>Cash</t>
        </is>
      </c>
      <c r="D46" s="37" t="inlineStr">
        <is>
          <t>Cleared</t>
        </is>
      </c>
      <c r="E46" s="40" t="inlineStr">
        <is>
          <t>Monthly Installments No. 14</t>
        </is>
      </c>
      <c r="F46" s="38" t="n">
        <v>8000</v>
      </c>
      <c r="G46" s="38">
        <f>SUM(F$16:F46)</f>
        <v/>
      </c>
      <c r="H46" s="38">
        <f>2174000-G46</f>
        <v/>
      </c>
      <c r="I46" s="37" t="inlineStr">
        <is>
          <t>N/A</t>
        </is>
      </c>
      <c r="J46" s="37" t="inlineStr">
        <is>
          <t>5784</t>
        </is>
      </c>
    </row>
    <row r="47">
      <c r="A47" s="31" t="n">
        <v>32</v>
      </c>
      <c r="B47" s="32" t="inlineStr">
        <is>
          <t>08/06/2023</t>
        </is>
      </c>
      <c r="C47" s="32" t="inlineStr">
        <is>
          <t>Cash</t>
        </is>
      </c>
      <c r="D47" s="32" t="inlineStr">
        <is>
          <t>Cleared</t>
        </is>
      </c>
      <c r="E47" s="35" t="inlineStr">
        <is>
          <t>Loan Installment No. 6</t>
        </is>
      </c>
      <c r="F47" s="33" t="n">
        <v>29000</v>
      </c>
      <c r="G47" s="33">
        <f>SUM(F$16:F47)</f>
        <v/>
      </c>
      <c r="H47" s="33">
        <f>2174000-G47</f>
        <v/>
      </c>
      <c r="I47" s="32" t="inlineStr">
        <is>
          <t>N/A</t>
        </is>
      </c>
      <c r="J47" s="32" t="inlineStr">
        <is>
          <t>5784</t>
        </is>
      </c>
    </row>
    <row r="48">
      <c r="A48" s="36" t="n">
        <v>33</v>
      </c>
      <c r="B48" s="37" t="inlineStr">
        <is>
          <t>10/07/2023</t>
        </is>
      </c>
      <c r="C48" s="37" t="inlineStr">
        <is>
          <t>Cash</t>
        </is>
      </c>
      <c r="D48" s="37" t="inlineStr">
        <is>
          <t>Cleared</t>
        </is>
      </c>
      <c r="E48" s="40" t="inlineStr">
        <is>
          <t>Loan Installment No. 7</t>
        </is>
      </c>
      <c r="F48" s="38" t="n">
        <v>29000</v>
      </c>
      <c r="G48" s="38">
        <f>SUM(F$16:F48)</f>
        <v/>
      </c>
      <c r="H48" s="38">
        <f>2174000-G48</f>
        <v/>
      </c>
      <c r="I48" s="37" t="inlineStr">
        <is>
          <t>N/A</t>
        </is>
      </c>
      <c r="J48" s="37" t="inlineStr">
        <is>
          <t>6024</t>
        </is>
      </c>
    </row>
    <row r="49">
      <c r="A49" s="31" t="n">
        <v>34</v>
      </c>
      <c r="B49" s="32" t="inlineStr">
        <is>
          <t>10/07/2023</t>
        </is>
      </c>
      <c r="C49" s="32" t="inlineStr">
        <is>
          <t>Cash</t>
        </is>
      </c>
      <c r="D49" s="32" t="inlineStr">
        <is>
          <t>Cleared</t>
        </is>
      </c>
      <c r="E49" s="35" t="inlineStr">
        <is>
          <t>Monthly Installments No. 15</t>
        </is>
      </c>
      <c r="F49" s="33" t="n">
        <v>8000</v>
      </c>
      <c r="G49" s="33">
        <f>SUM(F$16:F49)</f>
        <v/>
      </c>
      <c r="H49" s="33">
        <f>2174000-G49</f>
        <v/>
      </c>
      <c r="I49" s="32" t="inlineStr">
        <is>
          <t>N/A</t>
        </is>
      </c>
      <c r="J49" s="32" t="inlineStr">
        <is>
          <t>6024</t>
        </is>
      </c>
    </row>
    <row r="50">
      <c r="A50" s="36" t="n">
        <v>35</v>
      </c>
      <c r="B50" s="37" t="inlineStr">
        <is>
          <t>10/07/2023</t>
        </is>
      </c>
      <c r="C50" s="37" t="inlineStr">
        <is>
          <t>Cash</t>
        </is>
      </c>
      <c r="D50" s="37" t="inlineStr">
        <is>
          <t>Cleared</t>
        </is>
      </c>
      <c r="E50" s="40" t="inlineStr">
        <is>
          <t>Quarterly Payments No. 5</t>
        </is>
      </c>
      <c r="F50" s="38" t="n">
        <v>30000</v>
      </c>
      <c r="G50" s="38">
        <f>SUM(F$16:F50)</f>
        <v/>
      </c>
      <c r="H50" s="38">
        <f>2174000-G50</f>
        <v/>
      </c>
      <c r="I50" s="37" t="inlineStr">
        <is>
          <t>N/A</t>
        </is>
      </c>
      <c r="J50" s="37" t="inlineStr">
        <is>
          <t>6024</t>
        </is>
      </c>
    </row>
    <row r="51">
      <c r="A51" s="31" t="n">
        <v>36</v>
      </c>
      <c r="B51" s="32" t="inlineStr">
        <is>
          <t>10/08/2023</t>
        </is>
      </c>
      <c r="C51" s="32" t="inlineStr">
        <is>
          <t>Cash</t>
        </is>
      </c>
      <c r="D51" s="32" t="inlineStr">
        <is>
          <t>Cleared</t>
        </is>
      </c>
      <c r="E51" s="35" t="inlineStr">
        <is>
          <t>Loan Installment No. 8</t>
        </is>
      </c>
      <c r="F51" s="33" t="n">
        <v>28000</v>
      </c>
      <c r="G51" s="33">
        <f>SUM(F$16:F51)</f>
        <v/>
      </c>
      <c r="H51" s="33">
        <f>2174000-G51</f>
        <v/>
      </c>
      <c r="I51" s="32" t="inlineStr">
        <is>
          <t>N/A</t>
        </is>
      </c>
      <c r="J51" s="32" t="inlineStr">
        <is>
          <t>6257</t>
        </is>
      </c>
    </row>
    <row r="52">
      <c r="A52" s="36" t="n">
        <v>37</v>
      </c>
      <c r="B52" s="37" t="inlineStr">
        <is>
          <t>10/08/2023</t>
        </is>
      </c>
      <c r="C52" s="37" t="inlineStr">
        <is>
          <t>Cash</t>
        </is>
      </c>
      <c r="D52" s="37" t="inlineStr">
        <is>
          <t>Cleared</t>
        </is>
      </c>
      <c r="E52" s="40" t="inlineStr">
        <is>
          <t>Monthly Installments No. 16</t>
        </is>
      </c>
      <c r="F52" s="38" t="n">
        <v>8000</v>
      </c>
      <c r="G52" s="38">
        <f>SUM(F$16:F52)</f>
        <v/>
      </c>
      <c r="H52" s="38">
        <f>2174000-G52</f>
        <v/>
      </c>
      <c r="I52" s="37" t="inlineStr">
        <is>
          <t>N/A</t>
        </is>
      </c>
      <c r="J52" s="37" t="inlineStr">
        <is>
          <t>6257</t>
        </is>
      </c>
    </row>
    <row r="53">
      <c r="A53" s="31" t="n">
        <v>38</v>
      </c>
      <c r="B53" s="32" t="inlineStr">
        <is>
          <t>10/09/2023</t>
        </is>
      </c>
      <c r="C53" s="32" t="inlineStr">
        <is>
          <t>Cash</t>
        </is>
      </c>
      <c r="D53" s="32" t="inlineStr">
        <is>
          <t>Cleared</t>
        </is>
      </c>
      <c r="E53" s="35" t="inlineStr">
        <is>
          <t>Monthly Installments No. 17</t>
        </is>
      </c>
      <c r="F53" s="33" t="n">
        <v>8000</v>
      </c>
      <c r="G53" s="33">
        <f>SUM(F$16:F53)</f>
        <v/>
      </c>
      <c r="H53" s="33">
        <f>2174000-G53</f>
        <v/>
      </c>
      <c r="I53" s="32" t="inlineStr">
        <is>
          <t>N/A</t>
        </is>
      </c>
      <c r="J53" s="32" t="inlineStr">
        <is>
          <t>6513</t>
        </is>
      </c>
    </row>
    <row r="54">
      <c r="A54" s="36" t="n">
        <v>39</v>
      </c>
      <c r="B54" s="37" t="inlineStr">
        <is>
          <t>10/09/2023</t>
        </is>
      </c>
      <c r="C54" s="37" t="inlineStr">
        <is>
          <t>Cash</t>
        </is>
      </c>
      <c r="D54" s="37" t="inlineStr">
        <is>
          <t>Cleared</t>
        </is>
      </c>
      <c r="E54" s="40" t="inlineStr">
        <is>
          <t>Loan Installment No. 8</t>
        </is>
      </c>
      <c r="F54" s="38" t="n">
        <v>1000</v>
      </c>
      <c r="G54" s="38">
        <f>SUM(F$16:F54)</f>
        <v/>
      </c>
      <c r="H54" s="38">
        <f>2174000-G54</f>
        <v/>
      </c>
      <c r="I54" s="37" t="inlineStr">
        <is>
          <t>N/A</t>
        </is>
      </c>
      <c r="J54" s="37" t="inlineStr">
        <is>
          <t>6513</t>
        </is>
      </c>
    </row>
    <row r="55">
      <c r="A55" s="31" t="n">
        <v>40</v>
      </c>
      <c r="B55" s="32" t="inlineStr">
        <is>
          <t>10/09/2023</t>
        </is>
      </c>
      <c r="C55" s="32" t="inlineStr">
        <is>
          <t>Cash</t>
        </is>
      </c>
      <c r="D55" s="32" t="inlineStr">
        <is>
          <t>Cleared</t>
        </is>
      </c>
      <c r="E55" s="35" t="inlineStr">
        <is>
          <t>Loan Installment No. 9</t>
        </is>
      </c>
      <c r="F55" s="33" t="n">
        <v>29000</v>
      </c>
      <c r="G55" s="33">
        <f>SUM(F$16:F55)</f>
        <v/>
      </c>
      <c r="H55" s="33">
        <f>2174000-G55</f>
        <v/>
      </c>
      <c r="I55" s="32" t="inlineStr">
        <is>
          <t>N/A</t>
        </is>
      </c>
      <c r="J55" s="32" t="inlineStr">
        <is>
          <t>6513</t>
        </is>
      </c>
    </row>
    <row r="56">
      <c r="A56" s="36" t="n">
        <v>41</v>
      </c>
      <c r="B56" s="37" t="inlineStr">
        <is>
          <t>14/10/2023</t>
        </is>
      </c>
      <c r="C56" s="37" t="inlineStr">
        <is>
          <t>Cash</t>
        </is>
      </c>
      <c r="D56" s="37" t="inlineStr">
        <is>
          <t>Cleared</t>
        </is>
      </c>
      <c r="E56" s="40" t="inlineStr">
        <is>
          <t>Quarterly Payments No. 6</t>
        </is>
      </c>
      <c r="F56" s="38" t="n">
        <v>30000</v>
      </c>
      <c r="G56" s="38">
        <f>SUM(F$16:F56)</f>
        <v/>
      </c>
      <c r="H56" s="38">
        <f>2174000-G56</f>
        <v/>
      </c>
      <c r="I56" s="37" t="inlineStr">
        <is>
          <t>N/A</t>
        </is>
      </c>
      <c r="J56" s="37" t="inlineStr">
        <is>
          <t>6846</t>
        </is>
      </c>
    </row>
    <row r="57">
      <c r="A57" s="31" t="n">
        <v>42</v>
      </c>
      <c r="B57" s="32" t="inlineStr">
        <is>
          <t>14/10/2023</t>
        </is>
      </c>
      <c r="C57" s="32" t="inlineStr">
        <is>
          <t>Cash</t>
        </is>
      </c>
      <c r="D57" s="32" t="inlineStr">
        <is>
          <t>Cleared</t>
        </is>
      </c>
      <c r="E57" s="35" t="inlineStr">
        <is>
          <t>Monthly Installments No. 18</t>
        </is>
      </c>
      <c r="F57" s="33" t="n">
        <v>8000</v>
      </c>
      <c r="G57" s="33">
        <f>SUM(F$16:F57)</f>
        <v/>
      </c>
      <c r="H57" s="33">
        <f>2174000-G57</f>
        <v/>
      </c>
      <c r="I57" s="32" t="inlineStr">
        <is>
          <t>N/A</t>
        </is>
      </c>
      <c r="J57" s="32" t="inlineStr">
        <is>
          <t>6846</t>
        </is>
      </c>
    </row>
    <row r="58">
      <c r="A58" s="36" t="n">
        <v>43</v>
      </c>
      <c r="B58" s="37" t="inlineStr">
        <is>
          <t>14/10/2023</t>
        </is>
      </c>
      <c r="C58" s="37" t="inlineStr">
        <is>
          <t>Cash</t>
        </is>
      </c>
      <c r="D58" s="37" t="inlineStr">
        <is>
          <t>Cleared</t>
        </is>
      </c>
      <c r="E58" s="40" t="inlineStr">
        <is>
          <t>Loan Installment No. 10</t>
        </is>
      </c>
      <c r="F58" s="38" t="n">
        <v>29000</v>
      </c>
      <c r="G58" s="38">
        <f>SUM(F$16:F58)</f>
        <v/>
      </c>
      <c r="H58" s="38">
        <f>2174000-G58</f>
        <v/>
      </c>
      <c r="I58" s="37" t="inlineStr">
        <is>
          <t>N/A</t>
        </is>
      </c>
      <c r="J58" s="37" t="inlineStr">
        <is>
          <t>6846</t>
        </is>
      </c>
    </row>
    <row r="59">
      <c r="A59" s="31" t="n">
        <v>44</v>
      </c>
      <c r="B59" s="32" t="inlineStr">
        <is>
          <t>12/11/2023</t>
        </is>
      </c>
      <c r="C59" s="32" t="inlineStr">
        <is>
          <t>Cash</t>
        </is>
      </c>
      <c r="D59" s="32" t="inlineStr">
        <is>
          <t>Cleared</t>
        </is>
      </c>
      <c r="E59" s="35" t="inlineStr">
        <is>
          <t>Monthly Installments No. 19</t>
        </is>
      </c>
      <c r="F59" s="33" t="n">
        <v>8000</v>
      </c>
      <c r="G59" s="33">
        <f>SUM(F$16:F59)</f>
        <v/>
      </c>
      <c r="H59" s="33">
        <f>2174000-G59</f>
        <v/>
      </c>
      <c r="I59" s="32" t="inlineStr">
        <is>
          <t>N/A</t>
        </is>
      </c>
      <c r="J59" s="32" t="inlineStr">
        <is>
          <t>7087</t>
        </is>
      </c>
    </row>
    <row r="60">
      <c r="A60" s="36" t="n">
        <v>45</v>
      </c>
      <c r="B60" s="37" t="inlineStr">
        <is>
          <t>12/11/2023</t>
        </is>
      </c>
      <c r="C60" s="37" t="inlineStr">
        <is>
          <t>Cash</t>
        </is>
      </c>
      <c r="D60" s="37" t="inlineStr">
        <is>
          <t>Cleared</t>
        </is>
      </c>
      <c r="E60" s="40" t="inlineStr">
        <is>
          <t>Loan Installment No. 11</t>
        </is>
      </c>
      <c r="F60" s="38" t="n">
        <v>29000</v>
      </c>
      <c r="G60" s="38">
        <f>SUM(F$16:F60)</f>
        <v/>
      </c>
      <c r="H60" s="38">
        <f>2174000-G60</f>
        <v/>
      </c>
      <c r="I60" s="37" t="inlineStr">
        <is>
          <t>N/A</t>
        </is>
      </c>
      <c r="J60" s="37" t="inlineStr">
        <is>
          <t>7087</t>
        </is>
      </c>
    </row>
    <row r="61">
      <c r="A61" s="31" t="n">
        <v>46</v>
      </c>
      <c r="B61" s="32" t="inlineStr">
        <is>
          <t>09/12/2023</t>
        </is>
      </c>
      <c r="C61" s="32" t="inlineStr">
        <is>
          <t>Cash</t>
        </is>
      </c>
      <c r="D61" s="32" t="inlineStr">
        <is>
          <t>Cleared</t>
        </is>
      </c>
      <c r="E61" s="35" t="inlineStr">
        <is>
          <t>On Slab Casting No. 2</t>
        </is>
      </c>
      <c r="F61" s="33" t="n">
        <v>50000</v>
      </c>
      <c r="G61" s="33">
        <f>SUM(F$16:F61)</f>
        <v/>
      </c>
      <c r="H61" s="33">
        <f>2174000-G61</f>
        <v/>
      </c>
      <c r="I61" s="32" t="inlineStr">
        <is>
          <t>N/A</t>
        </is>
      </c>
      <c r="J61" s="32" t="inlineStr">
        <is>
          <t>7329</t>
        </is>
      </c>
    </row>
    <row r="62">
      <c r="A62" s="36" t="n">
        <v>47</v>
      </c>
      <c r="B62" s="37" t="inlineStr">
        <is>
          <t>09/12/2023</t>
        </is>
      </c>
      <c r="C62" s="37" t="inlineStr">
        <is>
          <t>Cash</t>
        </is>
      </c>
      <c r="D62" s="37" t="inlineStr">
        <is>
          <t>Cleared</t>
        </is>
      </c>
      <c r="E62" s="40" t="inlineStr">
        <is>
          <t>Monthly Installments No. 20</t>
        </is>
      </c>
      <c r="F62" s="38" t="n">
        <v>8000</v>
      </c>
      <c r="G62" s="38">
        <f>SUM(F$16:F62)</f>
        <v/>
      </c>
      <c r="H62" s="38">
        <f>2174000-G62</f>
        <v/>
      </c>
      <c r="I62" s="37" t="inlineStr">
        <is>
          <t>N/A</t>
        </is>
      </c>
      <c r="J62" s="37" t="inlineStr">
        <is>
          <t>7329</t>
        </is>
      </c>
    </row>
    <row r="63">
      <c r="A63" s="31" t="n">
        <v>48</v>
      </c>
      <c r="B63" s="32" t="inlineStr">
        <is>
          <t>09/12/2023</t>
        </is>
      </c>
      <c r="C63" s="32" t="inlineStr">
        <is>
          <t>Cash</t>
        </is>
      </c>
      <c r="D63" s="32" t="inlineStr">
        <is>
          <t>Cleared</t>
        </is>
      </c>
      <c r="E63" s="35" t="inlineStr">
        <is>
          <t>Loan Installment No. 12</t>
        </is>
      </c>
      <c r="F63" s="33" t="n">
        <v>29000</v>
      </c>
      <c r="G63" s="33">
        <f>SUM(F$16:F63)</f>
        <v/>
      </c>
      <c r="H63" s="33">
        <f>2174000-G63</f>
        <v/>
      </c>
      <c r="I63" s="32" t="inlineStr">
        <is>
          <t>N/A</t>
        </is>
      </c>
      <c r="J63" s="32" t="inlineStr">
        <is>
          <t>7329</t>
        </is>
      </c>
    </row>
    <row r="64">
      <c r="A64" s="36" t="n">
        <v>49</v>
      </c>
      <c r="B64" s="37" t="inlineStr">
        <is>
          <t>13/12/2023</t>
        </is>
      </c>
      <c r="C64" s="37" t="inlineStr">
        <is>
          <t>Cash</t>
        </is>
      </c>
      <c r="D64" s="37" t="inlineStr">
        <is>
          <t>Cleared</t>
        </is>
      </c>
      <c r="E64" s="40" t="inlineStr">
        <is>
          <t>On Slab Casting No. 3</t>
        </is>
      </c>
      <c r="F64" s="38" t="n">
        <v>50000</v>
      </c>
      <c r="G64" s="38">
        <f>SUM(F$16:F64)</f>
        <v/>
      </c>
      <c r="H64" s="38">
        <f>2174000-G64</f>
        <v/>
      </c>
      <c r="I64" s="37" t="inlineStr">
        <is>
          <t>N/A</t>
        </is>
      </c>
      <c r="J64" s="37" t="inlineStr">
        <is>
          <t>7372</t>
        </is>
      </c>
    </row>
    <row r="65">
      <c r="A65" s="31" t="n">
        <v>50</v>
      </c>
      <c r="B65" s="32" t="inlineStr">
        <is>
          <t>11/01/2024</t>
        </is>
      </c>
      <c r="C65" s="32" t="inlineStr">
        <is>
          <t>Cash</t>
        </is>
      </c>
      <c r="D65" s="32" t="inlineStr">
        <is>
          <t>Cleared</t>
        </is>
      </c>
      <c r="E65" s="35" t="inlineStr">
        <is>
          <t>Monthly Installments No. 21</t>
        </is>
      </c>
      <c r="F65" s="33" t="n">
        <v>8000</v>
      </c>
      <c r="G65" s="33">
        <f>SUM(F$16:F65)</f>
        <v/>
      </c>
      <c r="H65" s="33">
        <f>2174000-G65</f>
        <v/>
      </c>
      <c r="I65" s="32" t="inlineStr">
        <is>
          <t>N/A</t>
        </is>
      </c>
      <c r="J65" s="32" t="inlineStr">
        <is>
          <t>7613</t>
        </is>
      </c>
    </row>
    <row r="66">
      <c r="A66" s="36" t="n">
        <v>51</v>
      </c>
      <c r="B66" s="37" t="inlineStr">
        <is>
          <t>11/01/2024</t>
        </is>
      </c>
      <c r="C66" s="37" t="inlineStr">
        <is>
          <t>Cash</t>
        </is>
      </c>
      <c r="D66" s="37" t="inlineStr">
        <is>
          <t>Cleared</t>
        </is>
      </c>
      <c r="E66" s="40" t="inlineStr">
        <is>
          <t>Quarterly Payments No. 7</t>
        </is>
      </c>
      <c r="F66" s="38" t="n">
        <v>30000</v>
      </c>
      <c r="G66" s="38">
        <f>SUM(F$16:F66)</f>
        <v/>
      </c>
      <c r="H66" s="38">
        <f>2174000-G66</f>
        <v/>
      </c>
      <c r="I66" s="37" t="inlineStr">
        <is>
          <t>N/A</t>
        </is>
      </c>
      <c r="J66" s="37" t="inlineStr">
        <is>
          <t>7613</t>
        </is>
      </c>
    </row>
    <row r="67">
      <c r="A67" s="31" t="n">
        <v>52</v>
      </c>
      <c r="B67" s="32" t="inlineStr">
        <is>
          <t>20/02/2024</t>
        </is>
      </c>
      <c r="C67" s="32" t="inlineStr">
        <is>
          <t>Cash</t>
        </is>
      </c>
      <c r="D67" s="32" t="inlineStr">
        <is>
          <t>Cleared</t>
        </is>
      </c>
      <c r="E67" s="35" t="inlineStr">
        <is>
          <t>Monthly Installments No. 22</t>
        </is>
      </c>
      <c r="F67" s="33" t="n">
        <v>8000</v>
      </c>
      <c r="G67" s="33">
        <f>SUM(F$16:F67)</f>
        <v/>
      </c>
      <c r="H67" s="33">
        <f>2174000-G67</f>
        <v/>
      </c>
      <c r="I67" s="32" t="inlineStr">
        <is>
          <t>N/A</t>
        </is>
      </c>
      <c r="J67" s="32" t="inlineStr">
        <is>
          <t>7959</t>
        </is>
      </c>
    </row>
    <row r="68">
      <c r="A68" s="36" t="n">
        <v>53</v>
      </c>
      <c r="B68" s="37" t="inlineStr">
        <is>
          <t>20/02/2024</t>
        </is>
      </c>
      <c r="C68" s="37" t="inlineStr">
        <is>
          <t>Cash</t>
        </is>
      </c>
      <c r="D68" s="37" t="inlineStr">
        <is>
          <t>Cleared</t>
        </is>
      </c>
      <c r="E68" s="40" t="inlineStr">
        <is>
          <t>Loan Installment No. 14</t>
        </is>
      </c>
      <c r="F68" s="38" t="n">
        <v>29000</v>
      </c>
      <c r="G68" s="38">
        <f>SUM(F$16:F68)</f>
        <v/>
      </c>
      <c r="H68" s="38">
        <f>2174000-G68</f>
        <v/>
      </c>
      <c r="I68" s="37" t="inlineStr">
        <is>
          <t>N/A</t>
        </is>
      </c>
      <c r="J68" s="37" t="inlineStr">
        <is>
          <t>7959</t>
        </is>
      </c>
    </row>
    <row r="69">
      <c r="A69" s="31" t="n">
        <v>54</v>
      </c>
      <c r="B69" s="32" t="inlineStr">
        <is>
          <t>20/02/2024</t>
        </is>
      </c>
      <c r="C69" s="32" t="inlineStr">
        <is>
          <t>Cash</t>
        </is>
      </c>
      <c r="D69" s="32" t="inlineStr">
        <is>
          <t>Cleared</t>
        </is>
      </c>
      <c r="E69" s="35" t="inlineStr">
        <is>
          <t>On Slab Casting No. 4</t>
        </is>
      </c>
      <c r="F69" s="33" t="n">
        <v>50000</v>
      </c>
      <c r="G69" s="33">
        <f>SUM(F$16:F69)</f>
        <v/>
      </c>
      <c r="H69" s="33">
        <f>2174000-G69</f>
        <v/>
      </c>
      <c r="I69" s="32" t="inlineStr">
        <is>
          <t>N/A</t>
        </is>
      </c>
      <c r="J69" s="32" t="inlineStr">
        <is>
          <t>7959</t>
        </is>
      </c>
    </row>
    <row r="70">
      <c r="A70" s="36" t="n">
        <v>55</v>
      </c>
      <c r="B70" s="37" t="inlineStr">
        <is>
          <t>20/02/2024</t>
        </is>
      </c>
      <c r="C70" s="37" t="inlineStr">
        <is>
          <t>Cash</t>
        </is>
      </c>
      <c r="D70" s="37" t="inlineStr">
        <is>
          <t>Cleared</t>
        </is>
      </c>
      <c r="E70" s="40" t="inlineStr">
        <is>
          <t>Quarterly Payments No. 8</t>
        </is>
      </c>
      <c r="F70" s="38" t="n">
        <v>30000</v>
      </c>
      <c r="G70" s="38">
        <f>SUM(F$16:F70)</f>
        <v/>
      </c>
      <c r="H70" s="38">
        <f>2174000-G70</f>
        <v/>
      </c>
      <c r="I70" s="37" t="inlineStr">
        <is>
          <t>N/A</t>
        </is>
      </c>
      <c r="J70" s="37" t="inlineStr">
        <is>
          <t>7959</t>
        </is>
      </c>
    </row>
    <row r="71">
      <c r="A71" s="31" t="n">
        <v>56</v>
      </c>
      <c r="B71" s="32" t="inlineStr">
        <is>
          <t>20/02/2024</t>
        </is>
      </c>
      <c r="C71" s="32" t="inlineStr">
        <is>
          <t>Cash</t>
        </is>
      </c>
      <c r="D71" s="32" t="inlineStr">
        <is>
          <t>Cleared</t>
        </is>
      </c>
      <c r="E71" s="35" t="inlineStr">
        <is>
          <t>Monthly Installments No. 23</t>
        </is>
      </c>
      <c r="F71" s="33" t="n">
        <v>8000</v>
      </c>
      <c r="G71" s="33">
        <f>SUM(F$16:F71)</f>
        <v/>
      </c>
      <c r="H71" s="33">
        <f>2174000-G71</f>
        <v/>
      </c>
      <c r="I71" s="32" t="inlineStr">
        <is>
          <t>N/A</t>
        </is>
      </c>
      <c r="J71" s="32" t="inlineStr">
        <is>
          <t>7959</t>
        </is>
      </c>
    </row>
    <row r="72">
      <c r="A72" s="36" t="n">
        <v>57</v>
      </c>
      <c r="B72" s="37" t="inlineStr">
        <is>
          <t>20/02/2024</t>
        </is>
      </c>
      <c r="C72" s="37" t="inlineStr">
        <is>
          <t>Cash</t>
        </is>
      </c>
      <c r="D72" s="37" t="inlineStr">
        <is>
          <t>Cleared</t>
        </is>
      </c>
      <c r="E72" s="40" t="inlineStr">
        <is>
          <t>Loan Installment No. 15</t>
        </is>
      </c>
      <c r="F72" s="38" t="n">
        <v>12000</v>
      </c>
      <c r="G72" s="38">
        <f>SUM(F$16:F72)</f>
        <v/>
      </c>
      <c r="H72" s="38">
        <f>2174000-G72</f>
        <v/>
      </c>
      <c r="I72" s="37" t="inlineStr">
        <is>
          <t>N/A</t>
        </is>
      </c>
      <c r="J72" s="37" t="inlineStr">
        <is>
          <t>7959</t>
        </is>
      </c>
    </row>
    <row r="73">
      <c r="A73" s="31" t="n">
        <v>58</v>
      </c>
      <c r="B73" s="32" t="inlineStr">
        <is>
          <t>20/02/2024</t>
        </is>
      </c>
      <c r="C73" s="32" t="inlineStr">
        <is>
          <t>Cash</t>
        </is>
      </c>
      <c r="D73" s="32" t="inlineStr">
        <is>
          <t>Cleared</t>
        </is>
      </c>
      <c r="E73" s="35" t="inlineStr">
        <is>
          <t>Loan Installment No. 13</t>
        </is>
      </c>
      <c r="F73" s="33" t="n">
        <v>29000</v>
      </c>
      <c r="G73" s="33">
        <f>SUM(F$16:F73)</f>
        <v/>
      </c>
      <c r="H73" s="33">
        <f>2174000-G73</f>
        <v/>
      </c>
      <c r="I73" s="32" t="inlineStr">
        <is>
          <t>N/A</t>
        </is>
      </c>
      <c r="J73" s="32" t="inlineStr">
        <is>
          <t>7959</t>
        </is>
      </c>
    </row>
    <row r="74">
      <c r="A74" s="36" t="n">
        <v>59</v>
      </c>
      <c r="B74" s="37" t="inlineStr">
        <is>
          <t>17/03/2024</t>
        </is>
      </c>
      <c r="C74" s="37" t="inlineStr">
        <is>
          <t>Cash</t>
        </is>
      </c>
      <c r="D74" s="37" t="inlineStr">
        <is>
          <t>Cleared</t>
        </is>
      </c>
      <c r="E74" s="40" t="inlineStr">
        <is>
          <t>Monthly Installments No. 24</t>
        </is>
      </c>
      <c r="F74" s="38" t="n">
        <v>8000</v>
      </c>
      <c r="G74" s="38">
        <f>SUM(F$16:F74)</f>
        <v/>
      </c>
      <c r="H74" s="38">
        <f>2174000-G74</f>
        <v/>
      </c>
      <c r="I74" s="37" t="inlineStr">
        <is>
          <t>N/A</t>
        </is>
      </c>
      <c r="J74" s="37" t="inlineStr">
        <is>
          <t>8179</t>
        </is>
      </c>
    </row>
    <row r="75">
      <c r="A75" s="31" t="n">
        <v>60</v>
      </c>
      <c r="B75" s="32" t="inlineStr">
        <is>
          <t>17/03/2024</t>
        </is>
      </c>
      <c r="C75" s="32" t="inlineStr">
        <is>
          <t>Cash</t>
        </is>
      </c>
      <c r="D75" s="32" t="inlineStr">
        <is>
          <t>Cleared</t>
        </is>
      </c>
      <c r="E75" s="35" t="inlineStr">
        <is>
          <t>Loan Installment No. 15</t>
        </is>
      </c>
      <c r="F75" s="33" t="n">
        <v>17000</v>
      </c>
      <c r="G75" s="33">
        <f>SUM(F$16:F75)</f>
        <v/>
      </c>
      <c r="H75" s="33">
        <f>2174000-G75</f>
        <v/>
      </c>
      <c r="I75" s="32" t="inlineStr">
        <is>
          <t>N/A</t>
        </is>
      </c>
      <c r="J75" s="32" t="inlineStr">
        <is>
          <t>8179</t>
        </is>
      </c>
    </row>
    <row r="76">
      <c r="A76" s="36" t="n">
        <v>61</v>
      </c>
      <c r="B76" s="37" t="inlineStr">
        <is>
          <t>17/03/2024</t>
        </is>
      </c>
      <c r="C76" s="37" t="inlineStr">
        <is>
          <t>Cash</t>
        </is>
      </c>
      <c r="D76" s="37" t="inlineStr">
        <is>
          <t>Cleared</t>
        </is>
      </c>
      <c r="E76" s="40" t="inlineStr">
        <is>
          <t>Monthly Installments No. 25</t>
        </is>
      </c>
      <c r="F76" s="38" t="n">
        <v>8000</v>
      </c>
      <c r="G76" s="38">
        <f>SUM(F$16:F76)</f>
        <v/>
      </c>
      <c r="H76" s="38">
        <f>2174000-G76</f>
        <v/>
      </c>
      <c r="I76" s="37" t="inlineStr">
        <is>
          <t>N/A</t>
        </is>
      </c>
      <c r="J76" s="37" t="inlineStr">
        <is>
          <t>8179</t>
        </is>
      </c>
    </row>
    <row r="77">
      <c r="A77" s="31" t="n">
        <v>62</v>
      </c>
      <c r="B77" s="32" t="inlineStr">
        <is>
          <t>17/03/2024</t>
        </is>
      </c>
      <c r="C77" s="32" t="inlineStr">
        <is>
          <t>Cash</t>
        </is>
      </c>
      <c r="D77" s="32" t="inlineStr">
        <is>
          <t>Cleared</t>
        </is>
      </c>
      <c r="E77" s="35" t="inlineStr">
        <is>
          <t>Loan Installment No. 16</t>
        </is>
      </c>
      <c r="F77" s="33" t="n">
        <v>4000</v>
      </c>
      <c r="G77" s="33">
        <f>SUM(F$16:F77)</f>
        <v/>
      </c>
      <c r="H77" s="33">
        <f>2174000-G77</f>
        <v/>
      </c>
      <c r="I77" s="32" t="inlineStr">
        <is>
          <t>N/A</t>
        </is>
      </c>
      <c r="J77" s="32" t="inlineStr">
        <is>
          <t>8179</t>
        </is>
      </c>
    </row>
    <row r="78">
      <c r="A78" s="36" t="n">
        <v>63</v>
      </c>
      <c r="B78" s="37" t="inlineStr">
        <is>
          <t>02/05/2024</t>
        </is>
      </c>
      <c r="C78" s="37" t="inlineStr">
        <is>
          <t>Online</t>
        </is>
      </c>
      <c r="D78" s="37" t="inlineStr">
        <is>
          <t>Cleared</t>
        </is>
      </c>
      <c r="E78" s="40" t="inlineStr">
        <is>
          <t>On Slab Casting No. 5</t>
        </is>
      </c>
      <c r="F78" s="38" t="n">
        <v>50000</v>
      </c>
      <c r="G78" s="38">
        <f>SUM(F$16:F78)</f>
        <v/>
      </c>
      <c r="H78" s="38">
        <f>2174000-G78</f>
        <v/>
      </c>
      <c r="I78" s="37" t="inlineStr">
        <is>
          <t>N/A</t>
        </is>
      </c>
      <c r="J78" s="37" t="inlineStr">
        <is>
          <t>8564</t>
        </is>
      </c>
    </row>
    <row r="79">
      <c r="A79" s="31" t="n">
        <v>64</v>
      </c>
      <c r="B79" s="32" t="inlineStr">
        <is>
          <t>02/05/2024</t>
        </is>
      </c>
      <c r="C79" s="32" t="inlineStr">
        <is>
          <t>Online</t>
        </is>
      </c>
      <c r="D79" s="32" t="inlineStr">
        <is>
          <t>Cleared</t>
        </is>
      </c>
      <c r="E79" s="35" t="inlineStr">
        <is>
          <t>Loan Installment No. 16</t>
        </is>
      </c>
      <c r="F79" s="33" t="n">
        <v>17000</v>
      </c>
      <c r="G79" s="33">
        <f>SUM(F$16:F79)</f>
        <v/>
      </c>
      <c r="H79" s="33">
        <f>2174000-G79</f>
        <v/>
      </c>
      <c r="I79" s="32" t="inlineStr">
        <is>
          <t>N/A</t>
        </is>
      </c>
      <c r="J79" s="32" t="inlineStr">
        <is>
          <t>8564</t>
        </is>
      </c>
    </row>
    <row r="80">
      <c r="A80" s="36" t="n">
        <v>65</v>
      </c>
      <c r="B80" s="37" t="inlineStr">
        <is>
          <t>30/05/2024</t>
        </is>
      </c>
      <c r="C80" s="37" t="inlineStr">
        <is>
          <t>Online</t>
        </is>
      </c>
      <c r="D80" s="37" t="inlineStr">
        <is>
          <t>Cleared</t>
        </is>
      </c>
      <c r="E80" s="40" t="inlineStr">
        <is>
          <t>Quarterly Payments No. 9</t>
        </is>
      </c>
      <c r="F80" s="38" t="n">
        <v>30000</v>
      </c>
      <c r="G80" s="38">
        <f>SUM(F$16:F80)</f>
        <v/>
      </c>
      <c r="H80" s="38">
        <f>2174000-G80</f>
        <v/>
      </c>
      <c r="I80" s="37" t="inlineStr">
        <is>
          <t>N/A</t>
        </is>
      </c>
      <c r="J80" s="37" t="inlineStr">
        <is>
          <t>8821</t>
        </is>
      </c>
    </row>
    <row r="81">
      <c r="A81" s="31" t="n">
        <v>66</v>
      </c>
      <c r="B81" s="32" t="inlineStr">
        <is>
          <t>30/05/2024</t>
        </is>
      </c>
      <c r="C81" s="32" t="inlineStr">
        <is>
          <t>Online</t>
        </is>
      </c>
      <c r="D81" s="32" t="inlineStr">
        <is>
          <t>Cleared</t>
        </is>
      </c>
      <c r="E81" s="35" t="inlineStr">
        <is>
          <t>Loan Installment No. 16</t>
        </is>
      </c>
      <c r="F81" s="33" t="n">
        <v>7000</v>
      </c>
      <c r="G81" s="33">
        <f>SUM(F$16:F81)</f>
        <v/>
      </c>
      <c r="H81" s="33">
        <f>2174000-G81</f>
        <v/>
      </c>
      <c r="I81" s="32" t="inlineStr">
        <is>
          <t>N/A</t>
        </is>
      </c>
      <c r="J81" s="32" t="inlineStr">
        <is>
          <t>8821</t>
        </is>
      </c>
    </row>
    <row r="82">
      <c r="A82" s="36" t="n">
        <v>67</v>
      </c>
      <c r="B82" s="37" t="inlineStr">
        <is>
          <t>30/06/2024</t>
        </is>
      </c>
      <c r="C82" s="37" t="inlineStr">
        <is>
          <t>Online</t>
        </is>
      </c>
      <c r="D82" s="37" t="inlineStr">
        <is>
          <t>Cleared</t>
        </is>
      </c>
      <c r="E82" s="40" t="inlineStr">
        <is>
          <t>Loan Installment No. 16</t>
        </is>
      </c>
      <c r="F82" s="38" t="n">
        <v>1000</v>
      </c>
      <c r="G82" s="38">
        <f>SUM(F$16:F82)</f>
        <v/>
      </c>
      <c r="H82" s="38">
        <f>2174000-G82</f>
        <v/>
      </c>
      <c r="I82" s="37" t="inlineStr">
        <is>
          <t>408370</t>
        </is>
      </c>
      <c r="J82" s="37" t="inlineStr">
        <is>
          <t>9057</t>
        </is>
      </c>
    </row>
    <row r="83">
      <c r="A83" s="31" t="n">
        <v>68</v>
      </c>
      <c r="B83" s="32" t="inlineStr">
        <is>
          <t>30/06/2024</t>
        </is>
      </c>
      <c r="C83" s="32" t="inlineStr">
        <is>
          <t>Online</t>
        </is>
      </c>
      <c r="D83" s="32" t="inlineStr">
        <is>
          <t>Cleared</t>
        </is>
      </c>
      <c r="E83" s="35" t="inlineStr">
        <is>
          <t>Quarterly Payments No. 10</t>
        </is>
      </c>
      <c r="F83" s="33" t="n">
        <v>30000</v>
      </c>
      <c r="G83" s="33">
        <f>SUM(F$16:F83)</f>
        <v/>
      </c>
      <c r="H83" s="33">
        <f>2174000-G83</f>
        <v/>
      </c>
      <c r="I83" s="32" t="inlineStr">
        <is>
          <t>408370</t>
        </is>
      </c>
      <c r="J83" s="32" t="inlineStr">
        <is>
          <t>9057</t>
        </is>
      </c>
    </row>
    <row r="84">
      <c r="A84" s="36" t="n">
        <v>69</v>
      </c>
      <c r="B84" s="37" t="inlineStr">
        <is>
          <t>30/06/2024</t>
        </is>
      </c>
      <c r="C84" s="37" t="inlineStr">
        <is>
          <t>Online</t>
        </is>
      </c>
      <c r="D84" s="37" t="inlineStr">
        <is>
          <t>Cleared</t>
        </is>
      </c>
      <c r="E84" s="40" t="inlineStr">
        <is>
          <t>Monthly Installments No. 26</t>
        </is>
      </c>
      <c r="F84" s="38" t="n">
        <v>6000</v>
      </c>
      <c r="G84" s="38">
        <f>SUM(F$16:F84)</f>
        <v/>
      </c>
      <c r="H84" s="38">
        <f>2174000-G84</f>
        <v/>
      </c>
      <c r="I84" s="37" t="inlineStr">
        <is>
          <t>408370</t>
        </is>
      </c>
      <c r="J84" s="37" t="inlineStr">
        <is>
          <t>9057</t>
        </is>
      </c>
    </row>
    <row r="85">
      <c r="A85" s="31" t="n">
        <v>70</v>
      </c>
      <c r="B85" s="32" t="inlineStr">
        <is>
          <t>25/07/2024</t>
        </is>
      </c>
      <c r="C85" s="32" t="inlineStr">
        <is>
          <t>Online</t>
        </is>
      </c>
      <c r="D85" s="32" t="inlineStr">
        <is>
          <t>Cleared</t>
        </is>
      </c>
      <c r="E85" s="35" t="inlineStr">
        <is>
          <t>Monthly Installments No. 26</t>
        </is>
      </c>
      <c r="F85" s="33" t="n">
        <v>2000</v>
      </c>
      <c r="G85" s="33">
        <f>SUM(F$16:F85)</f>
        <v/>
      </c>
      <c r="H85" s="33">
        <f>2174000-G85</f>
        <v/>
      </c>
      <c r="I85" s="32" t="inlineStr">
        <is>
          <t>038849</t>
        </is>
      </c>
      <c r="J85" s="32" t="inlineStr">
        <is>
          <t>9265</t>
        </is>
      </c>
    </row>
    <row r="86">
      <c r="A86" s="36" t="n">
        <v>71</v>
      </c>
      <c r="B86" s="37" t="inlineStr">
        <is>
          <t>25/07/2024</t>
        </is>
      </c>
      <c r="C86" s="37" t="inlineStr">
        <is>
          <t>Online</t>
        </is>
      </c>
      <c r="D86" s="37" t="inlineStr">
        <is>
          <t>Cleared</t>
        </is>
      </c>
      <c r="E86" s="40" t="inlineStr">
        <is>
          <t>Monthly Installments No. 27</t>
        </is>
      </c>
      <c r="F86" s="38" t="n">
        <v>7000</v>
      </c>
      <c r="G86" s="38">
        <f>SUM(F$16:F86)</f>
        <v/>
      </c>
      <c r="H86" s="38">
        <f>2174000-G86</f>
        <v/>
      </c>
      <c r="I86" s="37" t="inlineStr">
        <is>
          <t>038849</t>
        </is>
      </c>
      <c r="J86" s="37" t="inlineStr">
        <is>
          <t>9265</t>
        </is>
      </c>
    </row>
    <row r="87">
      <c r="A87" s="31" t="n">
        <v>72</v>
      </c>
      <c r="B87" s="32" t="inlineStr">
        <is>
          <t>25/07/2024</t>
        </is>
      </c>
      <c r="C87" s="32" t="inlineStr">
        <is>
          <t>Online</t>
        </is>
      </c>
      <c r="D87" s="32" t="inlineStr">
        <is>
          <t>Cleared</t>
        </is>
      </c>
      <c r="E87" s="35" t="inlineStr">
        <is>
          <t>Loan Installment No. 17</t>
        </is>
      </c>
      <c r="F87" s="33" t="n">
        <v>29000</v>
      </c>
      <c r="G87" s="33">
        <f>SUM(F$16:F87)</f>
        <v/>
      </c>
      <c r="H87" s="33">
        <f>2174000-G87</f>
        <v/>
      </c>
      <c r="I87" s="32" t="inlineStr">
        <is>
          <t>038849</t>
        </is>
      </c>
      <c r="J87" s="32" t="inlineStr">
        <is>
          <t>9265</t>
        </is>
      </c>
    </row>
    <row r="88">
      <c r="A88" s="36" t="n">
        <v>73</v>
      </c>
      <c r="B88" s="37" t="inlineStr">
        <is>
          <t>25/07/2024</t>
        </is>
      </c>
      <c r="C88" s="37" t="inlineStr">
        <is>
          <t>Online</t>
        </is>
      </c>
      <c r="D88" s="37" t="inlineStr">
        <is>
          <t>Cleared</t>
        </is>
      </c>
      <c r="E88" s="40" t="inlineStr">
        <is>
          <t>Loan Installment No. 18</t>
        </is>
      </c>
      <c r="F88" s="38" t="n">
        <v>29000</v>
      </c>
      <c r="G88" s="38">
        <f>SUM(F$16:F88)</f>
        <v/>
      </c>
      <c r="H88" s="38">
        <f>2174000-G88</f>
        <v/>
      </c>
      <c r="I88" s="37" t="inlineStr">
        <is>
          <t>038849</t>
        </is>
      </c>
      <c r="J88" s="37" t="inlineStr">
        <is>
          <t>9265</t>
        </is>
      </c>
    </row>
    <row r="89">
      <c r="A89" s="31" t="n">
        <v>74</v>
      </c>
      <c r="B89" s="32" t="inlineStr">
        <is>
          <t>26/08/2024</t>
        </is>
      </c>
      <c r="C89" s="32" t="inlineStr">
        <is>
          <t>Online</t>
        </is>
      </c>
      <c r="D89" s="32" t="inlineStr">
        <is>
          <t>Cleared</t>
        </is>
      </c>
      <c r="E89" s="35" t="inlineStr">
        <is>
          <t>Monthly Installments No. 27</t>
        </is>
      </c>
      <c r="F89" s="33" t="n">
        <v>1000</v>
      </c>
      <c r="G89" s="33">
        <f>SUM(F$16:F89)</f>
        <v/>
      </c>
      <c r="H89" s="33">
        <f>2174000-G89</f>
        <v/>
      </c>
      <c r="I89" s="32" t="inlineStr">
        <is>
          <t>230494</t>
        </is>
      </c>
      <c r="J89" s="32" t="inlineStr">
        <is>
          <t>9538</t>
        </is>
      </c>
    </row>
    <row r="90">
      <c r="A90" s="36" t="n">
        <v>75</v>
      </c>
      <c r="B90" s="37" t="inlineStr">
        <is>
          <t>26/08/2024</t>
        </is>
      </c>
      <c r="C90" s="37" t="inlineStr">
        <is>
          <t>Online</t>
        </is>
      </c>
      <c r="D90" s="37" t="inlineStr">
        <is>
          <t>Cleared</t>
        </is>
      </c>
      <c r="E90" s="40" t="inlineStr">
        <is>
          <t>Monthly Installments No. 28</t>
        </is>
      </c>
      <c r="F90" s="38" t="n">
        <v>8000</v>
      </c>
      <c r="G90" s="38">
        <f>SUM(F$16:F90)</f>
        <v/>
      </c>
      <c r="H90" s="38">
        <f>2174000-G90</f>
        <v/>
      </c>
      <c r="I90" s="37" t="inlineStr">
        <is>
          <t>230494</t>
        </is>
      </c>
      <c r="J90" s="37" t="inlineStr">
        <is>
          <t>9538</t>
        </is>
      </c>
    </row>
    <row r="91">
      <c r="A91" s="31" t="n">
        <v>76</v>
      </c>
      <c r="B91" s="32" t="inlineStr">
        <is>
          <t>26/08/2024</t>
        </is>
      </c>
      <c r="C91" s="32" t="inlineStr">
        <is>
          <t>Online</t>
        </is>
      </c>
      <c r="D91" s="32" t="inlineStr">
        <is>
          <t>Cleared</t>
        </is>
      </c>
      <c r="E91" s="35" t="inlineStr">
        <is>
          <t>Loan Installment No. 19</t>
        </is>
      </c>
      <c r="F91" s="33" t="n">
        <v>28000</v>
      </c>
      <c r="G91" s="33">
        <f>SUM(F$16:F91)</f>
        <v/>
      </c>
      <c r="H91" s="33">
        <f>2174000-G91</f>
        <v/>
      </c>
      <c r="I91" s="32" t="inlineStr">
        <is>
          <t>230494</t>
        </is>
      </c>
      <c r="J91" s="32" t="inlineStr">
        <is>
          <t>9538</t>
        </is>
      </c>
    </row>
    <row r="92">
      <c r="A92" s="36" t="n">
        <v>77</v>
      </c>
      <c r="B92" s="37" t="inlineStr">
        <is>
          <t>23/09/2024</t>
        </is>
      </c>
      <c r="C92" s="37" t="inlineStr">
        <is>
          <t>Online</t>
        </is>
      </c>
      <c r="D92" s="37" t="inlineStr">
        <is>
          <t>Cleared</t>
        </is>
      </c>
      <c r="E92" s="40" t="inlineStr">
        <is>
          <t>Loan Installment No. 19</t>
        </is>
      </c>
      <c r="F92" s="38" t="n">
        <v>1000</v>
      </c>
      <c r="G92" s="38">
        <f>SUM(F$16:F92)</f>
        <v/>
      </c>
      <c r="H92" s="38">
        <f>2174000-G92</f>
        <v/>
      </c>
      <c r="I92" s="37" t="inlineStr">
        <is>
          <t>716571</t>
        </is>
      </c>
      <c r="J92" s="37" t="inlineStr">
        <is>
          <t>9770</t>
        </is>
      </c>
    </row>
    <row r="93">
      <c r="A93" s="31" t="n">
        <v>78</v>
      </c>
      <c r="B93" s="32" t="inlineStr">
        <is>
          <t>23/09/2024</t>
        </is>
      </c>
      <c r="C93" s="32" t="inlineStr">
        <is>
          <t>Online</t>
        </is>
      </c>
      <c r="D93" s="32" t="inlineStr">
        <is>
          <t>Cleared</t>
        </is>
      </c>
      <c r="E93" s="35" t="inlineStr">
        <is>
          <t>Monthly Installments No. 30</t>
        </is>
      </c>
      <c r="F93" s="33" t="n">
        <v>7000</v>
      </c>
      <c r="G93" s="33">
        <f>SUM(F$16:F93)</f>
        <v/>
      </c>
      <c r="H93" s="33">
        <f>2174000-G93</f>
        <v/>
      </c>
      <c r="I93" s="32" t="inlineStr">
        <is>
          <t>716571</t>
        </is>
      </c>
      <c r="J93" s="32" t="inlineStr">
        <is>
          <t>9770</t>
        </is>
      </c>
    </row>
    <row r="94">
      <c r="A94" s="36" t="n">
        <v>79</v>
      </c>
      <c r="B94" s="37" t="inlineStr">
        <is>
          <t>23/09/2024</t>
        </is>
      </c>
      <c r="C94" s="37" t="inlineStr">
        <is>
          <t>Online</t>
        </is>
      </c>
      <c r="D94" s="37" t="inlineStr">
        <is>
          <t>Cleared</t>
        </is>
      </c>
      <c r="E94" s="40" t="inlineStr">
        <is>
          <t>Loan Installment No. 20</t>
        </is>
      </c>
      <c r="F94" s="38" t="n">
        <v>29000</v>
      </c>
      <c r="G94" s="38">
        <f>SUM(F$16:F94)</f>
        <v/>
      </c>
      <c r="H94" s="38">
        <f>2174000-G94</f>
        <v/>
      </c>
      <c r="I94" s="37" t="inlineStr">
        <is>
          <t>716571</t>
        </is>
      </c>
      <c r="J94" s="37" t="inlineStr">
        <is>
          <t>9770</t>
        </is>
      </c>
    </row>
    <row r="95">
      <c r="A95" s="31" t="n">
        <v>80</v>
      </c>
      <c r="B95" s="32" t="inlineStr">
        <is>
          <t>23/09/2024</t>
        </is>
      </c>
      <c r="C95" s="32" t="inlineStr">
        <is>
          <t>Online</t>
        </is>
      </c>
      <c r="D95" s="32" t="inlineStr">
        <is>
          <t>Cleared</t>
        </is>
      </c>
      <c r="E95" s="35" t="inlineStr">
        <is>
          <t>Loan Installment No. 21</t>
        </is>
      </c>
      <c r="F95" s="33" t="n">
        <v>29000</v>
      </c>
      <c r="G95" s="33">
        <f>SUM(F$16:F95)</f>
        <v/>
      </c>
      <c r="H95" s="33">
        <f>2174000-G95</f>
        <v/>
      </c>
      <c r="I95" s="32" t="inlineStr">
        <is>
          <t>716571</t>
        </is>
      </c>
      <c r="J95" s="32" t="inlineStr">
        <is>
          <t>9770</t>
        </is>
      </c>
    </row>
    <row r="96">
      <c r="A96" s="36" t="n">
        <v>81</v>
      </c>
      <c r="B96" s="37" t="inlineStr">
        <is>
          <t>23/09/2024</t>
        </is>
      </c>
      <c r="C96" s="37" t="inlineStr">
        <is>
          <t>Online</t>
        </is>
      </c>
      <c r="D96" s="37" t="inlineStr">
        <is>
          <t>Cleared</t>
        </is>
      </c>
      <c r="E96" s="40" t="inlineStr">
        <is>
          <t>Monthly Installments No. 29</t>
        </is>
      </c>
      <c r="F96" s="38" t="n">
        <v>8000</v>
      </c>
      <c r="G96" s="38">
        <f>SUM(F$16:F96)</f>
        <v/>
      </c>
      <c r="H96" s="38">
        <f>2174000-G96</f>
        <v/>
      </c>
      <c r="I96" s="37" t="inlineStr">
        <is>
          <t>716571</t>
        </is>
      </c>
      <c r="J96" s="37" t="inlineStr">
        <is>
          <t>9770</t>
        </is>
      </c>
    </row>
    <row r="97">
      <c r="A97" s="31" t="n">
        <v>82</v>
      </c>
      <c r="B97" s="32" t="inlineStr">
        <is>
          <t>24/10/2024</t>
        </is>
      </c>
      <c r="C97" s="32" t="inlineStr">
        <is>
          <t>Online</t>
        </is>
      </c>
      <c r="D97" s="32" t="inlineStr">
        <is>
          <t>Cleared</t>
        </is>
      </c>
      <c r="E97" s="35" t="inlineStr">
        <is>
          <t>Monthly Installments No. 30</t>
        </is>
      </c>
      <c r="F97" s="33" t="n">
        <v>1000</v>
      </c>
      <c r="G97" s="33">
        <f>SUM(F$16:F97)</f>
        <v/>
      </c>
      <c r="H97" s="33">
        <f>2174000-G97</f>
        <v/>
      </c>
      <c r="I97" s="32" t="inlineStr">
        <is>
          <t>631816</t>
        </is>
      </c>
      <c r="J97" s="32" t="inlineStr">
        <is>
          <t>10037</t>
        </is>
      </c>
    </row>
    <row r="98">
      <c r="A98" s="36" t="n">
        <v>83</v>
      </c>
      <c r="B98" s="37" t="inlineStr">
        <is>
          <t>24/10/2024</t>
        </is>
      </c>
      <c r="C98" s="37" t="inlineStr">
        <is>
          <t>Online</t>
        </is>
      </c>
      <c r="D98" s="37" t="inlineStr">
        <is>
          <t>Cleared</t>
        </is>
      </c>
      <c r="E98" s="40" t="inlineStr">
        <is>
          <t>Loan Installment No. 22</t>
        </is>
      </c>
      <c r="F98" s="38" t="n">
        <v>29000</v>
      </c>
      <c r="G98" s="38">
        <f>SUM(F$16:F98)</f>
        <v/>
      </c>
      <c r="H98" s="38">
        <f>2174000-G98</f>
        <v/>
      </c>
      <c r="I98" s="37" t="inlineStr">
        <is>
          <t>631816</t>
        </is>
      </c>
      <c r="J98" s="37" t="inlineStr">
        <is>
          <t>10037</t>
        </is>
      </c>
    </row>
    <row r="99">
      <c r="A99" s="31" t="n">
        <v>84</v>
      </c>
      <c r="B99" s="32" t="inlineStr">
        <is>
          <t>24/10/2024</t>
        </is>
      </c>
      <c r="C99" s="32" t="inlineStr">
        <is>
          <t>Online</t>
        </is>
      </c>
      <c r="D99" s="32" t="inlineStr">
        <is>
          <t>Cleared</t>
        </is>
      </c>
      <c r="E99" s="35" t="inlineStr">
        <is>
          <t>Loan Installment No. 23</t>
        </is>
      </c>
      <c r="F99" s="33" t="n">
        <v>29000</v>
      </c>
      <c r="G99" s="33">
        <f>SUM(F$16:F99)</f>
        <v/>
      </c>
      <c r="H99" s="33">
        <f>2174000-G99</f>
        <v/>
      </c>
      <c r="I99" s="32" t="inlineStr">
        <is>
          <t>631816</t>
        </is>
      </c>
      <c r="J99" s="32" t="inlineStr">
        <is>
          <t>10037</t>
        </is>
      </c>
    </row>
    <row r="100">
      <c r="A100" s="36" t="n">
        <v>85</v>
      </c>
      <c r="B100" s="37" t="inlineStr">
        <is>
          <t>24/10/2024</t>
        </is>
      </c>
      <c r="C100" s="37" t="inlineStr">
        <is>
          <t>Online</t>
        </is>
      </c>
      <c r="D100" s="37" t="inlineStr">
        <is>
          <t>Cleared</t>
        </is>
      </c>
      <c r="E100" s="40" t="inlineStr">
        <is>
          <t>Monthly Installments No. 31</t>
        </is>
      </c>
      <c r="F100" s="38" t="n">
        <v>8000</v>
      </c>
      <c r="G100" s="38">
        <f>SUM(F$16:F100)</f>
        <v/>
      </c>
      <c r="H100" s="38">
        <f>2174000-G100</f>
        <v/>
      </c>
      <c r="I100" s="37" t="inlineStr">
        <is>
          <t>631816</t>
        </is>
      </c>
      <c r="J100" s="37" t="inlineStr">
        <is>
          <t>10037</t>
        </is>
      </c>
    </row>
    <row r="101">
      <c r="A101" s="31" t="n">
        <v>86</v>
      </c>
      <c r="B101" s="32" t="inlineStr">
        <is>
          <t>21/11/2024</t>
        </is>
      </c>
      <c r="C101" s="32" t="inlineStr">
        <is>
          <t>Online</t>
        </is>
      </c>
      <c r="D101" s="32" t="inlineStr">
        <is>
          <t>Cleared</t>
        </is>
      </c>
      <c r="E101" s="35" t="inlineStr">
        <is>
          <t>Monthly Installments No. 32</t>
        </is>
      </c>
      <c r="F101" s="33" t="n">
        <v>8000</v>
      </c>
      <c r="G101" s="33">
        <f>SUM(F$16:F101)</f>
        <v/>
      </c>
      <c r="H101" s="33">
        <f>2174000-G101</f>
        <v/>
      </c>
      <c r="I101" s="32" t="inlineStr">
        <is>
          <t>354937</t>
        </is>
      </c>
      <c r="J101" s="32" t="inlineStr">
        <is>
          <t>10257</t>
        </is>
      </c>
    </row>
    <row r="102">
      <c r="A102" s="36" t="n">
        <v>87</v>
      </c>
      <c r="B102" s="37" t="inlineStr">
        <is>
          <t>21/11/2024</t>
        </is>
      </c>
      <c r="C102" s="37" t="inlineStr">
        <is>
          <t>Online</t>
        </is>
      </c>
      <c r="D102" s="37" t="inlineStr">
        <is>
          <t>Cleared</t>
        </is>
      </c>
      <c r="E102" s="40" t="inlineStr">
        <is>
          <t>Loan Installment No. 24</t>
        </is>
      </c>
      <c r="F102" s="38" t="n">
        <v>21000</v>
      </c>
      <c r="G102" s="38">
        <f>SUM(F$16:F102)</f>
        <v/>
      </c>
      <c r="H102" s="38">
        <f>2174000-G102</f>
        <v/>
      </c>
      <c r="I102" s="37" t="inlineStr">
        <is>
          <t>354937</t>
        </is>
      </c>
      <c r="J102" s="37" t="inlineStr">
        <is>
          <t>10257</t>
        </is>
      </c>
    </row>
    <row r="103">
      <c r="A103" s="31" t="n">
        <v>88</v>
      </c>
      <c r="B103" s="32" t="inlineStr">
        <is>
          <t>21/11/2024</t>
        </is>
      </c>
      <c r="C103" s="32" t="inlineStr">
        <is>
          <t>Online</t>
        </is>
      </c>
      <c r="D103" s="32" t="inlineStr">
        <is>
          <t>Cleared</t>
        </is>
      </c>
      <c r="E103" s="35" t="inlineStr">
        <is>
          <t>Monthly Installments No. 33</t>
        </is>
      </c>
      <c r="F103" s="33" t="n">
        <v>8000</v>
      </c>
      <c r="G103" s="33">
        <f>SUM(F$16:F103)</f>
        <v/>
      </c>
      <c r="H103" s="33">
        <f>2174000-G103</f>
        <v/>
      </c>
      <c r="I103" s="32" t="inlineStr">
        <is>
          <t>354937</t>
        </is>
      </c>
      <c r="J103" s="32" t="inlineStr">
        <is>
          <t>10257</t>
        </is>
      </c>
    </row>
    <row r="104">
      <c r="A104" s="36" t="n">
        <v>89</v>
      </c>
      <c r="B104" s="37" t="inlineStr">
        <is>
          <t>23/01/2025</t>
        </is>
      </c>
      <c r="C104" s="37" t="inlineStr">
        <is>
          <t>Online</t>
        </is>
      </c>
      <c r="D104" s="37" t="inlineStr">
        <is>
          <t>Cleared</t>
        </is>
      </c>
      <c r="E104" s="40" t="inlineStr">
        <is>
          <t>Loan Installment No. 24</t>
        </is>
      </c>
      <c r="F104" s="38" t="n">
        <v>8000</v>
      </c>
      <c r="G104" s="38">
        <f>SUM(F$16:F104)</f>
        <v/>
      </c>
      <c r="H104" s="38">
        <f>2174000-G104</f>
        <v/>
      </c>
      <c r="I104" s="37" t="inlineStr">
        <is>
          <t>320650</t>
        </is>
      </c>
      <c r="J104" s="37" t="inlineStr">
        <is>
          <t>10677</t>
        </is>
      </c>
    </row>
    <row r="105">
      <c r="A105" s="31" t="n">
        <v>90</v>
      </c>
      <c r="B105" s="32" t="inlineStr">
        <is>
          <t>23/01/2025</t>
        </is>
      </c>
      <c r="C105" s="32" t="inlineStr">
        <is>
          <t>Online</t>
        </is>
      </c>
      <c r="D105" s="32" t="inlineStr">
        <is>
          <t>Cleared</t>
        </is>
      </c>
      <c r="E105" s="35" t="inlineStr">
        <is>
          <t>Quarterly Payments No. 11</t>
        </is>
      </c>
      <c r="F105" s="33" t="n">
        <v>30000</v>
      </c>
      <c r="G105" s="33">
        <f>SUM(F$16:F105)</f>
        <v/>
      </c>
      <c r="H105" s="33">
        <f>2174000-G105</f>
        <v/>
      </c>
      <c r="I105" s="32" t="inlineStr">
        <is>
          <t>320650</t>
        </is>
      </c>
      <c r="J105" s="32" t="inlineStr">
        <is>
          <t>10677</t>
        </is>
      </c>
    </row>
    <row r="106">
      <c r="A106" s="36" t="n">
        <v>91</v>
      </c>
      <c r="B106" s="37" t="inlineStr">
        <is>
          <t>18/02/2025</t>
        </is>
      </c>
      <c r="C106" s="37" t="inlineStr">
        <is>
          <t>Online</t>
        </is>
      </c>
      <c r="D106" s="37" t="inlineStr">
        <is>
          <t>Cleared</t>
        </is>
      </c>
      <c r="E106" s="40" t="inlineStr">
        <is>
          <t>Monthly Installments No. 34</t>
        </is>
      </c>
      <c r="F106" s="38" t="n">
        <v>8000</v>
      </c>
      <c r="G106" s="38">
        <f>SUM(F$16:F106)</f>
        <v/>
      </c>
      <c r="H106" s="38">
        <f>2174000-G106</f>
        <v/>
      </c>
      <c r="I106" s="37" t="inlineStr">
        <is>
          <t>409442</t>
        </is>
      </c>
      <c r="J106" s="37" t="inlineStr">
        <is>
          <t>10891</t>
        </is>
      </c>
    </row>
    <row r="107">
      <c r="A107" s="31" t="n">
        <v>92</v>
      </c>
      <c r="B107" s="32" t="inlineStr">
        <is>
          <t>18/03/2025</t>
        </is>
      </c>
      <c r="C107" s="32" t="inlineStr">
        <is>
          <t>Online</t>
        </is>
      </c>
      <c r="D107" s="32" t="inlineStr">
        <is>
          <t>Cleared</t>
        </is>
      </c>
      <c r="E107" s="35" t="inlineStr">
        <is>
          <t>Monthly Installments No. 35</t>
        </is>
      </c>
      <c r="F107" s="33" t="n">
        <v>8000</v>
      </c>
      <c r="G107" s="33">
        <f>SUM(F$16:F107)</f>
        <v/>
      </c>
      <c r="H107" s="33">
        <f>2174000-G107</f>
        <v/>
      </c>
      <c r="I107" s="32" t="inlineStr">
        <is>
          <t>758438</t>
        </is>
      </c>
      <c r="J107" s="32" t="inlineStr">
        <is>
          <t>11070</t>
        </is>
      </c>
    </row>
    <row r="108">
      <c r="A108" s="36" t="n">
        <v>93</v>
      </c>
      <c r="B108" s="37" t="inlineStr">
        <is>
          <t>17/04/2025</t>
        </is>
      </c>
      <c r="C108" s="37" t="inlineStr">
        <is>
          <t>Online</t>
        </is>
      </c>
      <c r="D108" s="37" t="inlineStr">
        <is>
          <t>Cleared</t>
        </is>
      </c>
      <c r="E108" s="40" t="inlineStr">
        <is>
          <t>Monthly Installments No. 36</t>
        </is>
      </c>
      <c r="F108" s="38" t="n">
        <v>8000</v>
      </c>
      <c r="G108" s="38">
        <f>SUM(F$16:F108)</f>
        <v/>
      </c>
      <c r="H108" s="38">
        <f>2174000-G108</f>
        <v/>
      </c>
      <c r="I108" s="37" t="inlineStr">
        <is>
          <t>432580</t>
        </is>
      </c>
      <c r="J108" s="37" t="inlineStr">
        <is>
          <t>11286</t>
        </is>
      </c>
    </row>
    <row r="109">
      <c r="A109" s="31" t="n">
        <v>94</v>
      </c>
      <c r="B109" s="32" t="inlineStr">
        <is>
          <t>17/04/2025</t>
        </is>
      </c>
      <c r="C109" s="32" t="inlineStr">
        <is>
          <t>Online</t>
        </is>
      </c>
      <c r="D109" s="32" t="inlineStr">
        <is>
          <t>Cleared</t>
        </is>
      </c>
      <c r="E109" s="35" t="inlineStr">
        <is>
          <t>Quarterly Payments No. 12</t>
        </is>
      </c>
      <c r="F109" s="33" t="n">
        <v>30000</v>
      </c>
      <c r="G109" s="33">
        <f>SUM(F$16:F109)</f>
        <v/>
      </c>
      <c r="H109" s="33">
        <f>2174000-G109</f>
        <v/>
      </c>
      <c r="I109" s="32" t="inlineStr">
        <is>
          <t>432580</t>
        </is>
      </c>
      <c r="J109" s="32" t="inlineStr">
        <is>
          <t>11286</t>
        </is>
      </c>
    </row>
    <row r="110">
      <c r="A110" s="36" t="n">
        <v>95</v>
      </c>
      <c r="B110" s="37" t="inlineStr">
        <is>
          <t>12/05/2025</t>
        </is>
      </c>
      <c r="C110" s="37" t="inlineStr">
        <is>
          <t>Online</t>
        </is>
      </c>
      <c r="D110" s="37" t="inlineStr">
        <is>
          <t>Cleared</t>
        </is>
      </c>
      <c r="E110" s="40" t="inlineStr">
        <is>
          <t>Monthly Installments No. 37</t>
        </is>
      </c>
      <c r="F110" s="38" t="n">
        <v>8000</v>
      </c>
      <c r="G110" s="38">
        <f>SUM(F$16:F110)</f>
        <v/>
      </c>
      <c r="H110" s="38">
        <f>2174000-G110</f>
        <v/>
      </c>
      <c r="I110" s="37" t="inlineStr">
        <is>
          <t>718493</t>
        </is>
      </c>
      <c r="J110" s="37" t="inlineStr">
        <is>
          <t>11428</t>
        </is>
      </c>
    </row>
    <row r="111">
      <c r="A111" s="31" t="n">
        <v>96</v>
      </c>
      <c r="B111" s="32" t="inlineStr">
        <is>
          <t>19/06/2025</t>
        </is>
      </c>
      <c r="C111" s="32" t="inlineStr">
        <is>
          <t>Online</t>
        </is>
      </c>
      <c r="D111" s="32" t="inlineStr">
        <is>
          <t>Cleared</t>
        </is>
      </c>
      <c r="E111" s="35" t="inlineStr">
        <is>
          <t>Monthly Installments No. 38</t>
        </is>
      </c>
      <c r="F111" s="33" t="n">
        <v>8000</v>
      </c>
      <c r="G111" s="33">
        <f>SUM(F$16:F111)</f>
        <v/>
      </c>
      <c r="H111" s="33">
        <f>2174000-G111</f>
        <v/>
      </c>
      <c r="I111" s="32" t="inlineStr">
        <is>
          <t>125326</t>
        </is>
      </c>
      <c r="J111" s="32" t="inlineStr">
        <is>
          <t>11644</t>
        </is>
      </c>
    </row>
    <row r="112">
      <c r="A112" s="36" t="n">
        <v>97</v>
      </c>
      <c r="B112" s="37" t="inlineStr">
        <is>
          <t>21/07/2025</t>
        </is>
      </c>
      <c r="C112" s="37" t="inlineStr">
        <is>
          <t>Online</t>
        </is>
      </c>
      <c r="D112" s="37" t="inlineStr">
        <is>
          <t>Cleared</t>
        </is>
      </c>
      <c r="E112" s="40" t="inlineStr">
        <is>
          <t>Quarterly Payments No. 13</t>
        </is>
      </c>
      <c r="F112" s="38" t="n">
        <v>30000</v>
      </c>
      <c r="G112" s="38">
        <f>SUM(F$16:F112)</f>
        <v/>
      </c>
      <c r="H112" s="38">
        <f>2174000-G112</f>
        <v/>
      </c>
      <c r="I112" s="37" t="inlineStr">
        <is>
          <t>841496</t>
        </is>
      </c>
      <c r="J112" s="37" t="inlineStr">
        <is>
          <t>11873</t>
        </is>
      </c>
    </row>
    <row r="113">
      <c r="A113" s="31" t="n">
        <v>98</v>
      </c>
      <c r="B113" s="32" t="inlineStr">
        <is>
          <t>21/07/2025</t>
        </is>
      </c>
      <c r="C113" s="32" t="inlineStr">
        <is>
          <t>Online</t>
        </is>
      </c>
      <c r="D113" s="32" t="inlineStr">
        <is>
          <t>Cleared</t>
        </is>
      </c>
      <c r="E113" s="35" t="inlineStr">
        <is>
          <t>Monthly Installments No. 39</t>
        </is>
      </c>
      <c r="F113" s="33" t="n">
        <v>8000</v>
      </c>
      <c r="G113" s="33">
        <f>SUM(F$16:F113)</f>
        <v/>
      </c>
      <c r="H113" s="33">
        <f>2174000-G113</f>
        <v/>
      </c>
      <c r="I113" s="32" t="inlineStr">
        <is>
          <t>841496</t>
        </is>
      </c>
      <c r="J113" s="32" t="inlineStr">
        <is>
          <t>11873</t>
        </is>
      </c>
    </row>
    <row r="114">
      <c r="A114" s="36" t="n">
        <v>99</v>
      </c>
      <c r="B114" s="37" t="inlineStr">
        <is>
          <t>18/08/2025</t>
        </is>
      </c>
      <c r="C114" s="37" t="inlineStr">
        <is>
          <t>Online</t>
        </is>
      </c>
      <c r="D114" s="37" t="inlineStr">
        <is>
          <t>Cleared</t>
        </is>
      </c>
      <c r="E114" s="40" t="inlineStr">
        <is>
          <t>Monthly Installments No. 40</t>
        </is>
      </c>
      <c r="F114" s="38" t="n">
        <v>8000</v>
      </c>
      <c r="G114" s="38">
        <f>SUM(F$16:F114)</f>
        <v/>
      </c>
      <c r="H114" s="38">
        <f>2174000-G114</f>
        <v/>
      </c>
      <c r="I114" s="37" t="inlineStr">
        <is>
          <t>492653</t>
        </is>
      </c>
      <c r="J114" s="37" t="inlineStr">
        <is>
          <t>12070</t>
        </is>
      </c>
    </row>
    <row r="115">
      <c r="A115" s="31" t="n">
        <v>100</v>
      </c>
      <c r="B115" s="32" t="inlineStr">
        <is>
          <t>15/09/2025</t>
        </is>
      </c>
      <c r="C115" s="32" t="inlineStr">
        <is>
          <t>Online</t>
        </is>
      </c>
      <c r="D115" s="32" t="inlineStr">
        <is>
          <t>Cleared</t>
        </is>
      </c>
      <c r="E115" s="35" t="inlineStr">
        <is>
          <t>Monthly Installments No. 41</t>
        </is>
      </c>
      <c r="F115" s="33" t="n">
        <v>8000</v>
      </c>
      <c r="G115" s="33">
        <f>SUM(F$16:F115)</f>
        <v/>
      </c>
      <c r="H115" s="33">
        <f>2174000-G115</f>
        <v/>
      </c>
      <c r="I115" s="32" t="inlineStr">
        <is>
          <t>996390</t>
        </is>
      </c>
      <c r="J115" s="32" t="inlineStr">
        <is>
          <t>12229</t>
        </is>
      </c>
    </row>
    <row r="116">
      <c r="A116" s="41" t="inlineStr">
        <is>
          <t>TOTAL</t>
        </is>
      </c>
      <c r="B116" s="42" t="n"/>
      <c r="C116" s="42" t="n"/>
      <c r="D116" s="42" t="n"/>
      <c r="E116" s="42" t="n"/>
      <c r="F116" s="43">
        <f>SUM(F16:F115)</f>
        <v/>
      </c>
      <c r="G116" s="43">
        <f>MAX(G16:G115)</f>
        <v/>
      </c>
      <c r="H116" s="43">
        <f>MIN(H16:H115)</f>
        <v/>
      </c>
      <c r="I116" s="41" t="inlineStr">
        <is>
          <t>100 Payments</t>
        </is>
      </c>
      <c r="J116" s="41" t="inlineStr">
        <is>
          <t>All Cleared</t>
        </is>
      </c>
    </row>
  </sheetData>
  <mergeCells count="12">
    <mergeCell ref="A1:J2"/>
    <mergeCell ref="C11:E11"/>
    <mergeCell ref="C13:E13"/>
    <mergeCell ref="A3:J3"/>
    <mergeCell ref="C8:E8"/>
    <mergeCell ref="C9:E9"/>
    <mergeCell ref="A116:E116"/>
    <mergeCell ref="B5:E5"/>
    <mergeCell ref="C7:E7"/>
    <mergeCell ref="C12:E12"/>
    <mergeCell ref="C6:E6"/>
    <mergeCell ref="C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5" customWidth="1" min="3" max="3"/>
    <col width="18" customWidth="1" min="4" max="4"/>
    <col width="28" customWidth="1" min="5" max="5"/>
    <col width="50" customWidth="1" min="6" max="6"/>
    <col width="44" customWidth="1" min="7" max="7"/>
  </cols>
  <sheetData>
    <row r="1">
      <c r="A1" s="1" t="inlineStr">
        <is>
          <t>AL GHAFOOR UTILITY CHARGES - RECEIPT &amp; DOCUMENT ARCHIVE</t>
        </is>
      </c>
    </row>
    <row r="2"/>
    <row r="4">
      <c r="A4" s="19" t="inlineStr">
        <is>
          <t>Doc #</t>
        </is>
      </c>
      <c r="B4" s="19" t="inlineStr">
        <is>
          <t>Document Type</t>
        </is>
      </c>
      <c r="C4" s="19" t="inlineStr">
        <is>
          <t>Transaction / Event Date</t>
        </is>
      </c>
      <c r="D4" s="19" t="inlineStr">
        <is>
          <t>Amount (PKR)</t>
        </is>
      </c>
      <c r="E4" s="19" t="inlineStr">
        <is>
          <t>Reference / Receipt #</t>
        </is>
      </c>
      <c r="F4" s="19" t="inlineStr">
        <is>
          <t>Archived File Name in Folder</t>
        </is>
      </c>
      <c r="G4" s="19" t="inlineStr">
        <is>
          <t>Description &amp; Verification Note</t>
        </is>
      </c>
    </row>
    <row r="5">
      <c r="A5" s="24" t="n">
        <v>1</v>
      </c>
      <c r="B5" s="51" t="inlineStr">
        <is>
          <t>Historical Master Ledger</t>
        </is>
      </c>
      <c r="C5" s="25" t="inlineStr">
        <is>
          <t>2022-04-27 to 2025-09-15</t>
        </is>
      </c>
      <c r="D5" s="26" t="n">
        <v>1958000</v>
      </c>
      <c r="E5" s="20" t="inlineStr">
        <is>
          <t>ATM-14A-206-2</t>
        </is>
      </c>
      <c r="F5" s="20" t="inlineStr">
        <is>
          <t>00_Historical_Flat_Booking_and_Installment_Ledger_2022_2025.pdf</t>
        </is>
      </c>
      <c r="G5" s="20" t="inlineStr">
        <is>
          <t>Official Al Ghafoor Client Ledger (100 Transactions from booking to Sep 2025)</t>
        </is>
      </c>
    </row>
    <row r="6">
      <c r="A6" s="36" t="n">
        <v>2</v>
      </c>
      <c r="B6" s="52" t="inlineStr">
        <is>
          <t>Payment Plan Schedule</t>
        </is>
      </c>
      <c r="C6" s="37" t="inlineStr">
        <is>
          <t>2025-11-26</t>
        </is>
      </c>
      <c r="D6" s="36" t="inlineStr">
        <is>
          <t>-</t>
        </is>
      </c>
      <c r="E6" s="40" t="inlineStr">
        <is>
          <t>37 Months Schedule</t>
        </is>
      </c>
      <c r="F6" s="40" t="inlineStr">
        <is>
          <t>00_Payment_Schedule_Utility_Charges.jpeg</t>
        </is>
      </c>
      <c r="G6" s="40" t="inlineStr">
        <is>
          <t>Official 37-month utility installment schedule breakdown</t>
        </is>
      </c>
    </row>
    <row r="7">
      <c r="A7" s="24" t="n">
        <v>3</v>
      </c>
      <c r="B7" s="51" t="inlineStr">
        <is>
          <t>Legal Undertaking</t>
        </is>
      </c>
      <c r="C7" s="25" t="inlineStr">
        <is>
          <t>2025-11-26</t>
        </is>
      </c>
      <c r="D7" s="26" t="n">
        <v>950000</v>
      </c>
      <c r="E7" s="20" t="inlineStr">
        <is>
          <t>ATM-14A-206-1</t>
        </is>
      </c>
      <c r="F7" s="20" t="inlineStr">
        <is>
          <t>2025-11-26_Receipt_and_Undertaking_Utility_Charges.jpeg</t>
        </is>
      </c>
      <c r="G7" s="20" t="inlineStr">
        <is>
          <t>Signed Undertaking &amp; Discount acknowledgment (Rs. 250k discount)</t>
        </is>
      </c>
    </row>
    <row r="8">
      <c r="A8" s="36" t="n">
        <v>4</v>
      </c>
      <c r="B8" s="52" t="inlineStr">
        <is>
          <t>Bank Transfer (Month 1)</t>
        </is>
      </c>
      <c r="C8" s="37" t="inlineStr">
        <is>
          <t>2025-12-24</t>
        </is>
      </c>
      <c r="D8" s="38" t="n">
        <v>15000</v>
      </c>
      <c r="E8" s="40" t="inlineStr">
        <is>
          <t>MPBL241225144252711403</t>
        </is>
      </c>
      <c r="F8" s="40" t="inlineStr">
        <is>
          <t>2025-12-24_Bank_Transfer_Receipt_Month_01_PKR_15000.jpeg</t>
        </is>
      </c>
      <c r="G8" s="40" t="inlineStr">
        <is>
          <t>Habib Metro Raast online transfer to Al Ghafoor Trading Co</t>
        </is>
      </c>
    </row>
    <row r="9">
      <c r="A9" s="24" t="n">
        <v>5</v>
      </c>
      <c r="B9" s="51" t="inlineStr">
        <is>
          <t>Official Receipt (Month 1)</t>
        </is>
      </c>
      <c r="C9" s="25" t="inlineStr">
        <is>
          <t>2026-01-10 (Tx: 2025-12-24)</t>
        </is>
      </c>
      <c r="D9" s="26" t="n">
        <v>15000</v>
      </c>
      <c r="E9" s="20" t="inlineStr">
        <is>
          <t>181DC (Inv: 9519)</t>
        </is>
      </c>
      <c r="F9" s="20" t="inlineStr">
        <is>
          <t>2025-12-24_Official_Receipt_181DC_Month_01_PKR_15000.jpeg</t>
        </is>
      </c>
      <c r="G9" s="20" t="inlineStr">
        <is>
          <t>Al Ghafoor Towers and Mall official receipt (Online)</t>
        </is>
      </c>
    </row>
    <row r="10">
      <c r="A10" s="36" t="n">
        <v>6</v>
      </c>
      <c r="B10" s="52" t="inlineStr">
        <is>
          <t>Bank Transfer (Month 2)</t>
        </is>
      </c>
      <c r="C10" s="37" t="inlineStr">
        <is>
          <t>2026-01-26</t>
        </is>
      </c>
      <c r="D10" s="38" t="n">
        <v>15000</v>
      </c>
      <c r="E10" s="40" t="inlineStr">
        <is>
          <t>MPBL260126104328932403</t>
        </is>
      </c>
      <c r="F10" s="40" t="inlineStr">
        <is>
          <t>2026-01-26_Bank_Transfer_Receipt_Month_02_PKR_15000.jpeg</t>
        </is>
      </c>
      <c r="G10" s="40" t="inlineStr">
        <is>
          <t>Habib Metro Raast online transfer to Al Ghafoor Trading Co</t>
        </is>
      </c>
    </row>
    <row r="11">
      <c r="A11" s="24" t="n">
        <v>7</v>
      </c>
      <c r="B11" s="51" t="inlineStr">
        <is>
          <t>Official Receipt (Month 2)</t>
        </is>
      </c>
      <c r="C11" s="25" t="inlineStr">
        <is>
          <t>2026-01-27 (Tx: 2026-01-26)</t>
        </is>
      </c>
      <c r="D11" s="26" t="n">
        <v>15000</v>
      </c>
      <c r="E11" s="20" t="inlineStr">
        <is>
          <t>262DC (Inv: 9519 &amp; 9550)</t>
        </is>
      </c>
      <c r="F11" s="20" t="inlineStr">
        <is>
          <t>2026-01-26_Official_Receipt_262DC_Month_02_PKR_15000.jpeg</t>
        </is>
      </c>
      <c r="G11" s="20" t="inlineStr">
        <is>
          <t>Al Ghafoor official receipt (Split: 5,000 + 10,000)</t>
        </is>
      </c>
    </row>
    <row r="12">
      <c r="A12" s="36" t="n">
        <v>8</v>
      </c>
      <c r="B12" s="52" t="inlineStr">
        <is>
          <t>Bank Transfer (Month 3)</t>
        </is>
      </c>
      <c r="C12" s="37" t="inlineStr">
        <is>
          <t>2026-02-28</t>
        </is>
      </c>
      <c r="D12" s="38" t="n">
        <v>15000</v>
      </c>
      <c r="E12" s="40" t="inlineStr">
        <is>
          <t>MPBL280226100658681456</t>
        </is>
      </c>
      <c r="F12" s="40" t="inlineStr">
        <is>
          <t>2026-02-28_Bank_Transfer_Receipt_Month_03_PKR_15000.jpeg</t>
        </is>
      </c>
      <c r="G12" s="40" t="inlineStr">
        <is>
          <t>Habib Metro Raast online transfer to Al Ghafoor Trading Co</t>
        </is>
      </c>
    </row>
    <row r="13">
      <c r="A13" s="24" t="n">
        <v>9</v>
      </c>
      <c r="B13" s="51" t="inlineStr">
        <is>
          <t>Official Receipt (Month 3)</t>
        </is>
      </c>
      <c r="C13" s="25" t="inlineStr">
        <is>
          <t>2026-03-03 (Tx: 2026-02-28)</t>
        </is>
      </c>
      <c r="D13" s="26" t="n">
        <v>15000</v>
      </c>
      <c r="E13" s="20" t="inlineStr">
        <is>
          <t>465DC (Inv: 9550 &amp; 10312)</t>
        </is>
      </c>
      <c r="F13" s="20" t="inlineStr">
        <is>
          <t>2026-02-28_Official_Receipt_465DC_Month_03_PKR_15000.jpeg</t>
        </is>
      </c>
      <c r="G13" s="20" t="inlineStr">
        <is>
          <t>Al Ghafoor official receipt (Split: 10,000 + 5,000)</t>
        </is>
      </c>
    </row>
    <row r="14">
      <c r="A14" s="36" t="n">
        <v>10</v>
      </c>
      <c r="B14" s="52" t="inlineStr">
        <is>
          <t>Bank Transfer (Month 4)</t>
        </is>
      </c>
      <c r="C14" s="37" t="inlineStr">
        <is>
          <t>2026-03-24</t>
        </is>
      </c>
      <c r="D14" s="38" t="n">
        <v>15000</v>
      </c>
      <c r="E14" s="40" t="inlineStr">
        <is>
          <t>MPBL240326215057922140</t>
        </is>
      </c>
      <c r="F14" s="40" t="inlineStr">
        <is>
          <t>2026-03-24_Bank_Transfer_Receipt_Month_04_PKR_15000.jpeg</t>
        </is>
      </c>
      <c r="G14" s="40" t="inlineStr">
        <is>
          <t>Habib Metro Raast online transfer to Al Ghafoor Trading Co</t>
        </is>
      </c>
    </row>
    <row r="15">
      <c r="A15" s="24" t="n">
        <v>11</v>
      </c>
      <c r="B15" s="51" t="inlineStr">
        <is>
          <t>Official Receipt (Month 4)</t>
        </is>
      </c>
      <c r="C15" s="25" t="inlineStr">
        <is>
          <t>2026-03-28 (Tx: 2026-03-25)</t>
        </is>
      </c>
      <c r="D15" s="26" t="n">
        <v>15000</v>
      </c>
      <c r="E15" s="20" t="inlineStr">
        <is>
          <t>575DC (Inv: 10312)</t>
        </is>
      </c>
      <c r="F15" s="20" t="inlineStr">
        <is>
          <t>2026-03-25_Official_Receipt_575DC_Month_04_PKR_15000.jpeg</t>
        </is>
      </c>
      <c r="G15" s="20" t="inlineStr">
        <is>
          <t>Al Ghafoor official receipt (Full 15,000 against Inv 10312)</t>
        </is>
      </c>
    </row>
    <row r="16">
      <c r="A16" s="36" t="n">
        <v>12</v>
      </c>
      <c r="B16" s="52" t="inlineStr">
        <is>
          <t>Bank Transfer (Month 5)</t>
        </is>
      </c>
      <c r="C16" s="37" t="inlineStr">
        <is>
          <t>2026-04-21</t>
        </is>
      </c>
      <c r="D16" s="38" t="n">
        <v>15000</v>
      </c>
      <c r="E16" s="40" t="inlineStr">
        <is>
          <t>MPBL210426172846822380</t>
        </is>
      </c>
      <c r="F16" s="40" t="inlineStr">
        <is>
          <t>2026-04-21_Bank_Transfer_Receipt_Month_05_PKR_15000.jpeg</t>
        </is>
      </c>
      <c r="G16" s="40" t="inlineStr">
        <is>
          <t>Habib Metro Raast online transfer to Al Ghafoor Trading Co</t>
        </is>
      </c>
    </row>
    <row r="17">
      <c r="A17" s="24" t="n">
        <v>13</v>
      </c>
      <c r="B17" s="51" t="inlineStr">
        <is>
          <t>Official Receipt (Month 5)</t>
        </is>
      </c>
      <c r="C17" s="25" t="inlineStr">
        <is>
          <t>2026-04-25 (Tx: 2026-04-21)</t>
        </is>
      </c>
      <c r="D17" s="26" t="n">
        <v>15000</v>
      </c>
      <c r="E17" s="20" t="inlineStr">
        <is>
          <t>730DC (Inv: 10313)</t>
        </is>
      </c>
      <c r="F17" s="20" t="inlineStr">
        <is>
          <t>2026-04-21_Official_Receipt_730DC_Month_05_PKR_15000.jpeg</t>
        </is>
      </c>
      <c r="G17" s="20" t="inlineStr">
        <is>
          <t>Al Ghafoor official receipt (Full 15,000 against Inv 10313)</t>
        </is>
      </c>
    </row>
    <row r="18">
      <c r="A18" s="36" t="n">
        <v>14</v>
      </c>
      <c r="B18" s="52" t="inlineStr">
        <is>
          <t>Bank Transfer (Month 6)</t>
        </is>
      </c>
      <c r="C18" s="37" t="inlineStr">
        <is>
          <t>2026-05-28</t>
        </is>
      </c>
      <c r="D18" s="38" t="n">
        <v>15000</v>
      </c>
      <c r="E18" s="40" t="inlineStr">
        <is>
          <t>MPBL280526145514180383</t>
        </is>
      </c>
      <c r="F18" s="40" t="inlineStr">
        <is>
          <t>2026-05-28_Bank_Transfer_Receipt_Month_06_PKR_15000.jpeg</t>
        </is>
      </c>
      <c r="G18" s="40" t="inlineStr">
        <is>
          <t>Habib Metro Raast online transfer to Al Ghafoor Trading Co</t>
        </is>
      </c>
    </row>
    <row r="19">
      <c r="A19" s="24" t="n">
        <v>15</v>
      </c>
      <c r="B19" s="51" t="inlineStr">
        <is>
          <t>Official Receipt (Month 6)</t>
        </is>
      </c>
      <c r="C19" s="25" t="inlineStr">
        <is>
          <t>2026-06-02 (Tx: 2026-05-29)</t>
        </is>
      </c>
      <c r="D19" s="26" t="n">
        <v>15000</v>
      </c>
      <c r="E19" s="20" t="inlineStr">
        <is>
          <t>898DC (Inv: 10313 &amp; 10314)</t>
        </is>
      </c>
      <c r="F19" s="20" t="inlineStr">
        <is>
          <t>2026-05-29_Official_Receipt_898DC_Month_06_PKR_15000.jpeg</t>
        </is>
      </c>
      <c r="G19" s="20" t="inlineStr">
        <is>
          <t>Al Ghafoor official receipt (Split: 5,000 + 10,000)</t>
        </is>
      </c>
    </row>
    <row r="20">
      <c r="A20" s="36" t="n">
        <v>16</v>
      </c>
      <c r="B20" s="52" t="inlineStr">
        <is>
          <t>Bank Transfer (Month 7)</t>
        </is>
      </c>
      <c r="C20" s="37" t="inlineStr">
        <is>
          <t>2026-06-23</t>
        </is>
      </c>
      <c r="D20" s="38" t="n">
        <v>15000</v>
      </c>
      <c r="E20" s="40" t="inlineStr">
        <is>
          <t>MPBL230626132859643986</t>
        </is>
      </c>
      <c r="F20" s="40" t="inlineStr">
        <is>
          <t>2026-06-23_Bank_Transfer_Receipt_Month_07_PKR_15000.jpeg</t>
        </is>
      </c>
      <c r="G20" s="40" t="inlineStr">
        <is>
          <t>Habib Metro Raast online transfer to Al Ghafoor Trading Co</t>
        </is>
      </c>
    </row>
    <row r="21">
      <c r="A21" s="24" t="n">
        <v>17</v>
      </c>
      <c r="B21" s="51" t="inlineStr">
        <is>
          <t>Official Receipt (Month 7)</t>
        </is>
      </c>
      <c r="C21" s="25" t="inlineStr">
        <is>
          <t>2026-06-30 (Tx: 2026-06-23)</t>
        </is>
      </c>
      <c r="D21" s="26" t="n">
        <v>15000</v>
      </c>
      <c r="E21" s="20" t="inlineStr">
        <is>
          <t>1028DC (Inv: 10314 &amp; 18899)</t>
        </is>
      </c>
      <c r="F21" s="20" t="inlineStr">
        <is>
          <t>2026-06-23_Official_Receipt_1028DC_Month_07_PKR_15000.jpeg</t>
        </is>
      </c>
      <c r="G21" s="20" t="inlineStr">
        <is>
          <t>Al Ghafoor official receipt (Split: 10,000 + 5,000)</t>
        </is>
      </c>
    </row>
    <row r="22">
      <c r="A22" s="36" t="n">
        <v>18</v>
      </c>
      <c r="B22" s="52" t="inlineStr">
        <is>
          <t>Bank Transfer (Month 8)</t>
        </is>
      </c>
      <c r="C22" s="37" t="inlineStr">
        <is>
          <t>2026-07-23</t>
        </is>
      </c>
      <c r="D22" s="38" t="n">
        <v>15000</v>
      </c>
      <c r="E22" s="40" t="inlineStr">
        <is>
          <t>MPBL230726222144869000</t>
        </is>
      </c>
      <c r="F22" s="40" t="inlineStr">
        <is>
          <t>2026-07-23_Bank_Transfer_Receipt_Month_08_PKR_15000.jpeg</t>
        </is>
      </c>
      <c r="G22" s="40" t="inlineStr">
        <is>
          <t>Habib Metro SMS payment alert / Raast transfer confirmation</t>
        </is>
      </c>
    </row>
    <row r="23">
      <c r="A23" s="24" t="n">
        <v>19</v>
      </c>
      <c r="B23" s="51" t="inlineStr">
        <is>
          <t>Official Receipt (Month 8)</t>
        </is>
      </c>
      <c r="C23" s="25" t="inlineStr">
        <is>
          <t>2026-07-28 (Tx: 2026-07-24)</t>
        </is>
      </c>
      <c r="D23" s="26" t="n">
        <v>15000</v>
      </c>
      <c r="E23" s="20" t="inlineStr">
        <is>
          <t>1197DC (Inv: 18899 / Ref: 307262)</t>
        </is>
      </c>
      <c r="F23" s="20" t="inlineStr">
        <is>
          <t>2026-07-24_Official_Receipt_1197DC_Month_08_PKR_15000.jpeg</t>
        </is>
      </c>
      <c r="G23" s="20" t="inlineStr">
        <is>
          <t>Al Ghafoor official receipt (Full 15,000 against Inv 18899)</t>
        </is>
      </c>
    </row>
    <row r="24">
      <c r="A24" s="36" t="n">
        <v>20</v>
      </c>
      <c r="B24" s="52" t="inlineStr">
        <is>
          <t>Bank Transfer (Month 9)</t>
        </is>
      </c>
      <c r="C24" s="37" t="inlineStr">
        <is>
          <t>2026-08-25</t>
        </is>
      </c>
      <c r="D24" s="38" t="n">
        <v>15000</v>
      </c>
      <c r="E24" s="40" t="inlineStr">
        <is>
          <t>MPBL250826073453943870</t>
        </is>
      </c>
      <c r="F24" s="40" t="inlineStr">
        <is>
          <t>2026-08-25_Bank_Transfer_Receipt_Month_09_PKR_15000.jpeg</t>
        </is>
      </c>
      <c r="G24" s="40" t="inlineStr">
        <is>
          <t>Habib Metro Raast online transfer (Official receipt pending)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2026-08-27T03:07:49Z</dcterms:created>
  <dcterms:modified xsi:type="dcterms:W3CDTF">2026-08-27T03:07:49Z</dcterms:modified>
</cp:coreProperties>
</file>